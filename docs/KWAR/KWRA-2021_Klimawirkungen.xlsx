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limawirkungen" sheetId="1" state="visible" r:id="rId3"/>
    <sheet name="Handlungsfelder" sheetId="2" state="visible" r:id="rId4"/>
    <sheet name="Indikatoren" sheetId="3" state="visible" r:id="rId5"/>
    <sheet name="Wirkungsmechanismen" sheetId="4" state="visible" r:id="rId6"/>
    <sheet name="Faktoren-Ranking" sheetId="5" state="visible" r:id="rId7"/>
    <sheet name="Wirkbeziehungen" sheetId="6" state="visible" r:id="rId8"/>
    <sheet name="Lesehinweise" sheetId="7" state="visible" r:id="rId9"/>
    <sheet name="Codelisten" sheetId="8" state="visible" r:id="rId10"/>
    <sheet name="Auswertung" sheetId="9" state="visible" r:id="rId11"/>
  </sheets>
  <definedNames>
    <definedName function="false" hidden="true" localSheetId="2" name="_xlnm._FilterDatabase" vbProcedure="false">Indikatoren!$A$4:$F$71</definedName>
    <definedName function="false" hidden="true" localSheetId="0" name="_xlnm._FilterDatabase" vbProcedure="false">Klimawirkungen!$A$2:$AK$104</definedName>
    <definedName function="false" hidden="true" localSheetId="3" name="_xlnm._FilterDatabase" vbProcedure="false">Wirkungsmechanismen!$A$5:$K$107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W2" authorId="0">
      <text>
        <r>
          <rPr>
            <sz val="10"/>
            <rFont val="Arial"/>
            <family val="2"/>
          </rPr>
          <t xml:space="preserve">Wirksamkeit = wie stark die Maßnahmen das Risiko senken können.
Restrisiko = welches Risiko danach verbleibt.
Beides nur für die 33 Klimawirkungen mit analysierter Anpassungskapazität.</t>
        </r>
      </text>
    </comment>
    <comment ref="AB2" authorId="0">
      <text>
        <r>
          <rPr>
            <sz val="10"/>
            <rFont val="Arial"/>
            <family val="2"/>
          </rPr>
          <t xml:space="preserve">Quelle: Teilberichte 2–5, Tabellen „Klimarisiken mit Anpassung im Handlungsfeld …“. Die Werte auf Ebene der Handlungsfelder stehen im Blatt „Handlungsfelder“.</t>
        </r>
      </text>
    </comment>
  </commentList>
</comments>
</file>

<file path=xl/sharedStrings.xml><?xml version="1.0" encoding="utf-8"?>
<sst xmlns="http://schemas.openxmlformats.org/spreadsheetml/2006/main" count="4123" uniqueCount="960">
  <si>
    <t xml:space="preserve">Stamm</t>
  </si>
  <si>
    <t xml:space="preserve">A. Fachliche Zerlegung (unterhalb der Klimawirkung)</t>
  </si>
  <si>
    <t xml:space="preserve">B. Klimarisiko ohne Anpassung</t>
  </si>
  <si>
    <t xml:space="preserve">C. Anpassung, Restrisiko und Handlungserfordernis</t>
  </si>
  <si>
    <t xml:space="preserve">ID</t>
  </si>
  <si>
    <t xml:space="preserve">Cluster</t>
  </si>
  <si>
    <t xml:space="preserve">Handlungsfeld</t>
  </si>
  <si>
    <t xml:space="preserve">Klimawirkung (Risiko)</t>
  </si>
  <si>
    <t xml:space="preserve">Bearbeitungstiefe</t>
  </si>
  <si>
    <t xml:space="preserve">Spezifizierung</t>
  </si>
  <si>
    <t xml:space="preserve">Integrierte Klimawirkungen</t>
  </si>
  <si>
    <t xml:space="preserve">Faktoren</t>
  </si>
  <si>
    <t xml:space="preserve">Indikatoren-IDs</t>
  </si>
  <si>
    <t xml:space="preserve">Indikatoren</t>
  </si>
  <si>
    <t xml:space="preserve">Typ</t>
  </si>
  <si>
    <t xml:space="preserve">Rein vorgelagert</t>
  </si>
  <si>
    <t xml:space="preserve">Systembereich</t>
  </si>
  <si>
    <t xml:space="preserve">Risiko o. Anp. – Gegenwart</t>
  </si>
  <si>
    <t xml:space="preserve">Risiko o. Anp. – Mitte optim.</t>
  </si>
  <si>
    <t xml:space="preserve">Risiko o. Anp. – Mitte pessim.</t>
  </si>
  <si>
    <t xml:space="preserve">Risiko o. Anp. – Ende optim.</t>
  </si>
  <si>
    <t xml:space="preserve">Risiko o. Anp. – Ende pessim.</t>
  </si>
  <si>
    <t xml:space="preserve">Gewissheit – Mitte</t>
  </si>
  <si>
    <t xml:space="preserve">Gewissheit – Ende</t>
  </si>
  <si>
    <t xml:space="preserve">Anpassungsdauer (Jahre)</t>
  </si>
  <si>
    <t xml:space="preserve">Anpassungskapazität analysiert</t>
  </si>
  <si>
    <t xml:space="preserve">Wirksamkeit APA III – 2020–2030</t>
  </si>
  <si>
    <t xml:space="preserve">Wirksamkeit APA III – Mitte optim.</t>
  </si>
  <si>
    <t xml:space="preserve">Wirksamkeit APA III – Mitte pessim.</t>
  </si>
  <si>
    <t xml:space="preserve">Wirksamkeit weiterr. – Mitte optim.</t>
  </si>
  <si>
    <t xml:space="preserve">Wirksamkeit weiterr. – Mitte pessim.</t>
  </si>
  <si>
    <t xml:space="preserve">Restrisiko APA III – 2020–2030</t>
  </si>
  <si>
    <t xml:space="preserve">Restrisiko APA III – Mitte optim.</t>
  </si>
  <si>
    <t xml:space="preserve">Restrisiko APA III – Mitte pessim.</t>
  </si>
  <si>
    <t xml:space="preserve">Restrisiko weiterr. – Mitte optim.</t>
  </si>
  <si>
    <t xml:space="preserve">Restrisiko weiterr. – Mitte pessim.</t>
  </si>
  <si>
    <t xml:space="preserve">Handlungserfordernis</t>
  </si>
  <si>
    <t xml:space="preserve">Netzrolle (TB 6 Kap. 3.4)</t>
  </si>
  <si>
    <t xml:space="preserve">Grenzen der Anpassung</t>
  </si>
  <si>
    <t xml:space="preserve">Quelle</t>
  </si>
  <si>
    <t xml:space="preserve">Anmerkung</t>
  </si>
  <si>
    <t xml:space="preserve">Land</t>
  </si>
  <si>
    <t xml:space="preserve">Biologische Vielfalt</t>
  </si>
  <si>
    <t xml:space="preserve">Veränderung der Länge der Vegetationsperiode und Phänologie</t>
  </si>
  <si>
    <t xml:space="preserve">intensiv</t>
  </si>
  <si>
    <t xml:space="preserve">Veränderungen im Verhalten von Zugvögeln und Entkopplungsphänomene infolge von Verschiebungen des Vorkommens von Nahrungsinsekten</t>
  </si>
  <si>
    <t xml:space="preserve">„Phänologie“, „Länge der Vegetationsperiode“, „Phänologie und Verhalten“</t>
  </si>
  <si>
    <t xml:space="preserve">Risiko</t>
  </si>
  <si>
    <t xml:space="preserve">Natürliche Systeme und Ressourcen</t>
  </si>
  <si>
    <t xml:space="preserve">gering</t>
  </si>
  <si>
    <t xml:space="preserve">mittel</t>
  </si>
  <si>
    <t xml:space="preserve">hoch</t>
  </si>
  <si>
    <t xml:space="preserve">keine Reaktion möglich</t>
  </si>
  <si>
    <t xml:space="preserve">nein</t>
  </si>
  <si>
    <t xml:space="preserve">nicht zuordenbar (keine Anpassungsoption)</t>
  </si>
  <si>
    <t xml:space="preserve">stark ausgehend</t>
  </si>
  <si>
    <t xml:space="preserve">Klimarisiko hoch, aber keine Anpassungsmöglichkeit gesehen (TB6 Kap. 6.1)</t>
  </si>
  <si>
    <t xml:space="preserve">TB 6 Tab. 1 | TB 2–5 „Übersicht Klimawirkungen“</t>
  </si>
  <si>
    <t xml:space="preserve">Ausbreitung invasiver Arten</t>
  </si>
  <si>
    <t xml:space="preserve">10-50</t>
  </si>
  <si>
    <t xml:space="preserve">ja</t>
  </si>
  <si>
    <t xml:space="preserve">gering-mittel</t>
  </si>
  <si>
    <t xml:space="preserve">mittel-hoch</t>
  </si>
  <si>
    <t xml:space="preserve">sehr dringend</t>
  </si>
  <si>
    <t xml:space="preserve">TB 6 Tab. 1 | TB 6 Tab. 22 | TB 2–5 „Klimarisiken mit Anpassung“ | TB 2–5 „Übersicht Klimawirkungen“</t>
  </si>
  <si>
    <t xml:space="preserve">Verlust an genetischer Vielfalt</t>
  </si>
  <si>
    <t xml:space="preserve">extensiv</t>
  </si>
  <si>
    <t xml:space="preserve">sehr gering</t>
  </si>
  <si>
    <t xml:space="preserve">dringend</t>
  </si>
  <si>
    <t xml:space="preserve">Verschiebung von Arealen und Rückgang der Bestände</t>
  </si>
  <si>
    <t xml:space="preserve">„Rückgang der Bestände“</t>
  </si>
  <si>
    <t xml:space="preserve">Schäden an Küstenökosystemen</t>
  </si>
  <si>
    <t xml:space="preserve">stark eingehend</t>
  </si>
  <si>
    <t xml:space="preserve">Schäden an Gebirgsökosystemen</t>
  </si>
  <si>
    <t xml:space="preserve">Schäden an wassergebundenen Habitaten und Feuchtgebieten</t>
  </si>
  <si>
    <t xml:space="preserve">Schäden an Wäldern</t>
  </si>
  <si>
    <t xml:space="preserve">&gt; 50</t>
  </si>
  <si>
    <t xml:space="preserve">Ökosystemleistungen</t>
  </si>
  <si>
    <t xml:space="preserve">„Versorgungsleistungen“, „Regulierende Leistungen“</t>
  </si>
  <si>
    <t xml:space="preserve">Naturnutzende Wirtschaftssysteme</t>
  </si>
  <si>
    <t xml:space="preserve">Boden</t>
  </si>
  <si>
    <t xml:space="preserve">Bodenerosion durch Wasser</t>
  </si>
  <si>
    <t xml:space="preserve">Potenzieller mittlerer Bodenabtrag durch Wassererosion</t>
  </si>
  <si>
    <t xml:space="preserve">Erosion durch Wasser</t>
  </si>
  <si>
    <t xml:space="preserve">BO-KL-01</t>
  </si>
  <si>
    <t xml:space="preserve">BO-KL-01: Potenzieller mittlerer Bodenabtrag durch Wassererosion</t>
  </si>
  <si>
    <t xml:space="preserve">Bodenerosion durch Wind</t>
  </si>
  <si>
    <t xml:space="preserve">Rutschungen und Muren</t>
  </si>
  <si>
    <t xml:space="preserve">Wassermangel im Boden</t>
  </si>
  <si>
    <t xml:space="preserve">BO-KL-02</t>
  </si>
  <si>
    <t xml:space="preserve">BO-KL-02: Effektive Wasserbilanz [mm] während der Hauptvegetationsperiode</t>
  </si>
  <si>
    <t xml:space="preserve">Sickerwasser</t>
  </si>
  <si>
    <t xml:space="preserve">BO-KL-03</t>
  </si>
  <si>
    <t xml:space="preserve">BO-KL-03: Mittlere jährliche Sickerwasserrate [mm/a]</t>
  </si>
  <si>
    <t xml:space="preserve">nicht als (sehr) dringend ausgewiesen</t>
  </si>
  <si>
    <t xml:space="preserve">Vernässung</t>
  </si>
  <si>
    <t xml:space="preserve">BO-KL-04</t>
  </si>
  <si>
    <t xml:space="preserve">BO-KL-04: Anzahl der Tage mit Bodenfeuchte ≥ 100 Prozent nutzbare Feldkapazität</t>
  </si>
  <si>
    <t xml:space="preserve">Bodenbiologie: Mikrobiologische Aktivität / Biodiversität / biologische Funktionalität</t>
  </si>
  <si>
    <t xml:space="preserve">Klimarisiko mittel, aber keine Anpassungsmöglichkeit gesehen (TB6 Kap. 6.1)</t>
  </si>
  <si>
    <t xml:space="preserve">Bodenstoffhaushalt: Organische Bodensubstanz, Stickstoff- und Phosphorhaushalt, Stoffausträge</t>
  </si>
  <si>
    <t xml:space="preserve">&lt; 10</t>
  </si>
  <si>
    <t xml:space="preserve">Bodenfunktionen: Filter- und Pufferfunktionen</t>
  </si>
  <si>
    <t xml:space="preserve">Produktionsfunktionen</t>
  </si>
  <si>
    <t xml:space="preserve">Landwirtschaft</t>
  </si>
  <si>
    <t xml:space="preserve">Hitzestress bei und Leistung von Nutztieren</t>
  </si>
  <si>
    <t xml:space="preserve">Hitzestress bei Milchkühen</t>
  </si>
  <si>
    <t xml:space="preserve">Lufttemperatur, Luftfeuchte</t>
  </si>
  <si>
    <t xml:space="preserve">LW-KL-01, LW-KL-02, LW-KL-03</t>
  </si>
  <si>
    <t xml:space="preserve">LW-KL-01: Anzahl der Tage mit einem THI &gt; 60 bis 70 · LW-KL-02: Anzahl der Tage mit einem THI &gt; 70 bis 80 · LW-KL-03: Anzahl der Tage mit einem THI &gt; 80</t>
  </si>
  <si>
    <t xml:space="preserve">Abiotischer Stress (Pflanzen)</t>
  </si>
  <si>
    <t xml:space="preserve">Trocken- und Hitzestress beim Weizen</t>
  </si>
  <si>
    <t xml:space="preserve">Trockenheit · Hitze</t>
  </si>
  <si>
    <t xml:space="preserve">LW-KL-04, LW-KL-05, LW-KL-06, LW-KL-07, LW-KL-08, LW-KL-09, LW-KL-10</t>
  </si>
  <si>
    <t xml:space="preserve">LW-KL-04: Tage mit Bodenfeuchte &lt; 30 % nFK, 01.09.–30.11., Winterweizen · LW-KL-05: Tage mit Bodenfeuchte &lt; 30 % nFK, 01.03.–30.06., Winterweizen · LW-KL-06: Tage mit Bodenfeuchte &lt; 50 % nFK, 01.09.–30.11., Winterweizen · LW-KL-07: Tage mit Bodenfeuchte &lt; 50 % nFK, 01.03.–30.06., Winterweizen · LW-KL-08: Mittlere Bodenfeuchte 01.09.–30.11., Winterweizen · LW-KL-09: Mittlere Bodenfeuchte 01.03.–30.06., Winterweizen · LW-KL-10: Anzahl der Heißen Tage in den Monaten Mai und Juni</t>
  </si>
  <si>
    <t xml:space="preserve">Verschiebung von Anbaugebieten</t>
  </si>
  <si>
    <t xml:space="preserve">Agrophänologische Phasen und Wachstumsperiode</t>
  </si>
  <si>
    <t xml:space="preserve">Stress durch Schädlinge und Krankheiten (Pflanzen)</t>
  </si>
  <si>
    <t xml:space="preserve">Ertragsausfälle</t>
  </si>
  <si>
    <t xml:space="preserve">Qualität der Ernteprodukte</t>
  </si>
  <si>
    <t xml:space="preserve">Wald- und Forstwirtschaft</t>
  </si>
  <si>
    <t xml:space="preserve">Hitze- und Trockenstress</t>
  </si>
  <si>
    <t xml:space="preserve">Trockenstress bei Buche, Eiche, Fichte und Kiefer</t>
  </si>
  <si>
    <t xml:space="preserve">Trockenheit (klimatische Wasserbilanz)</t>
  </si>
  <si>
    <t xml:space="preserve">FW-KL-01</t>
  </si>
  <si>
    <t xml:space="preserve">FW-KL-01: Ökogramme für Buche, Eiche, Fichte und Kiefer</t>
  </si>
  <si>
    <t xml:space="preserve">Stress durch Schädlinge / Krankheiten</t>
  </si>
  <si>
    <t xml:space="preserve">Potenzielle Anzahl der Vermehrungszyklen des Buchdruckers (Ips typographus)</t>
  </si>
  <si>
    <t xml:space="preserve">Schädlingsdruck · Verbreitung der betroffenen Baumart</t>
  </si>
  <si>
    <t xml:space="preserve">FW-KL-02, FW-SO-03</t>
  </si>
  <si>
    <t xml:space="preserve">FW-KL-02: Potenzielle Anzahl der Vermehrungszyklen des Buchdruckers (Ips typographus) · FW-SO-03: Flächenanteil der Baumgattung Picea (Fichte) am bestockten Holzboden</t>
  </si>
  <si>
    <t xml:space="preserve">Schäden durch Windwurf</t>
  </si>
  <si>
    <t xml:space="preserve">Waldbrandrisiko</t>
  </si>
  <si>
    <t xml:space="preserve">Nutzfunktion: Holzertrag</t>
  </si>
  <si>
    <t xml:space="preserve">Nutzfunktion: Erholung</t>
  </si>
  <si>
    <t xml:space="preserve">Wasser</t>
  </si>
  <si>
    <t xml:space="preserve">Fischerei</t>
  </si>
  <si>
    <t xml:space="preserve">Entkopplung von Nahrungsbeziehungen in der Ostsee</t>
  </si>
  <si>
    <t xml:space="preserve">Am Beispiel des Herings; Raumbezug westliche Ostsee; Ansatz Produktivität; Fokus Phänologie</t>
  </si>
  <si>
    <t xml:space="preserve">Verbreitung wärmeliebender Arten in der Nordsee</t>
  </si>
  <si>
    <t xml:space="preserve">Am Beispiel des Seehechts; Raumbezug mittlere Nordsee; Ansatz Habitat/Vorkommen; Fokus Physiologie</t>
  </si>
  <si>
    <t xml:space="preserve">Verbreitung des Seehechts in der Deutschen Bucht</t>
  </si>
  <si>
    <t xml:space="preserve">FI-KL-01</t>
  </si>
  <si>
    <t xml:space="preserve">FI-KL-01: Relative Habitateignung der Deutschen Bucht</t>
  </si>
  <si>
    <t xml:space="preserve">Verbreitung von Fischarten in Fließgewässern</t>
  </si>
  <si>
    <t xml:space="preserve">Am Beispiel von Bachforelle, Brachse, Groppe und Strömer in Baden-Württemberg</t>
  </si>
  <si>
    <t xml:space="preserve">Potenzielle Verbreitung von Bachforelle, Brachse, Groppe und Strömer</t>
  </si>
  <si>
    <t xml:space="preserve">FI-KL-02</t>
  </si>
  <si>
    <t xml:space="preserve">FI-KL-02: Habitateignung der Fließgewässer Baden-Württembergs</t>
  </si>
  <si>
    <t xml:space="preserve">Schäden an Aquakulturen</t>
  </si>
  <si>
    <t xml:space="preserve">Küsten- und Meeresschutz</t>
  </si>
  <si>
    <t xml:space="preserve">Meerestemperatur und Eisbedeckung</t>
  </si>
  <si>
    <t xml:space="preserve">Meerestemperatur</t>
  </si>
  <si>
    <t xml:space="preserve">KUE-KL-01</t>
  </si>
  <si>
    <t xml:space="preserve">KUE-KL-01: Meerestemperatur in der Deutschen Bucht und der südwestlichen Ostsee</t>
  </si>
  <si>
    <t xml:space="preserve">Wasserqualität und Grundwasserversalzung</t>
  </si>
  <si>
    <t xml:space="preserve">Meeresspiegelhöhe</t>
  </si>
  <si>
    <t xml:space="preserve">Strömungen und Gezeitendynamik</t>
  </si>
  <si>
    <t xml:space="preserve">Seegang</t>
  </si>
  <si>
    <t xml:space="preserve">Sturmfluten</t>
  </si>
  <si>
    <t xml:space="preserve">Naturräumliche Veränderungen an Küsten</t>
  </si>
  <si>
    <t xml:space="preserve">Relativer Meeresspiegelanstieg · Niederschlag · Überflutungsdauern an der Deutschen Bucht · Küstenverändernde Prozesse Ostseeküste</t>
  </si>
  <si>
    <t xml:space="preserve">KUE-KL-02, KUE-KL-03, KUE-KL-04, KUE-KL-05</t>
  </si>
  <si>
    <t xml:space="preserve">KUE-KL-02: Ergebnisse aus der vorgelagerten Klimawirkung „Meeresspiegelhöhe“ · KUE-KL-03: Anzahl der Tage mit einem Tagesniederschlag über Schwellenwert · KUE-KL-04: Mittlere Überflutungsdauer des Wattenmeers je Tide · KUE-KL-05: Abtrag, Anlandung und Ausgleich für ausgewählte Küstenabschnitte</t>
  </si>
  <si>
    <t xml:space="preserve">Höhere Belastung oder Versagen von Küstenschutzsystemen</t>
  </si>
  <si>
    <t xml:space="preserve">Infrastrukturen und Gebäude</t>
  </si>
  <si>
    <t xml:space="preserve">Beschädigung oder Zerstörung von Siedlung und Infrastruktur an der Küste</t>
  </si>
  <si>
    <t xml:space="preserve">Potenzielle Überflutungsflächen / Wasserstand · Risikopotenzial durch ein seeseitiges Hochwasserereignis · Vorkommen von Siedlung und Infrastruktur in der Küstenzone</t>
  </si>
  <si>
    <t xml:space="preserve">KUE-KL-06, KUE-SO-07, KUE-SO-08</t>
  </si>
  <si>
    <t xml:space="preserve">KUE-KL-06: Seeseitige Überflutungsgebiete für ein Ereignis nach HWRM-RL · KUE-SO-07: Potenzielle nachteilige Folgen von einem seeseitigen Hochwasserereignis · KUE-SO-08: Siedlungs- und Verkehrsfläche in potenziellen Überflutungsgebieten</t>
  </si>
  <si>
    <t xml:space="preserve">In zweiter Bewertungsschleife der Anpassungsdauer hochgestuft; Anpassungskapazität nicht bewertet (Fußnote Tabelle 25)</t>
  </si>
  <si>
    <t xml:space="preserve">Überlastung der Entwässerungseinrichtungen in überflutungsgefährdeten Gebieten</t>
  </si>
  <si>
    <t xml:space="preserve">Relativer Meeresspiegelanstieg an der deutschen Küste · Niederschlag und Binnenzufluss · Niederschlag</t>
  </si>
  <si>
    <t xml:space="preserve">KUE-KL-02, KUE-KL-03, KUE-KL-09</t>
  </si>
  <si>
    <t xml:space="preserve">KUE-KL-02: Ergebnisse aus der vorgelagerten Klimawirkung · KUE-KL-03: Anzahl der Tage mit einem Tagesniederschlag · KUE-KL-09: Mittlere Niederschlagssumme im Winter</t>
  </si>
  <si>
    <t xml:space="preserve">Wasserhaushalt, Wasserwirtschaft</t>
  </si>
  <si>
    <t xml:space="preserve">Niedrigwasser</t>
  </si>
  <si>
    <t xml:space="preserve">WW-KL-01</t>
  </si>
  <si>
    <t xml:space="preserve">WW-KL-01: NM7Q – niedrigster Mittelwert von sieben aufeinanderfolgenden Tagen</t>
  </si>
  <si>
    <t xml:space="preserve">Hochwasser</t>
  </si>
  <si>
    <t xml:space="preserve">Mittleres Hochwasser · Hundertjährliches Hochwasser</t>
  </si>
  <si>
    <t xml:space="preserve">WW-KL-02, WW-KL-03</t>
  </si>
  <si>
    <t xml:space="preserve">WW-KL-02: Mittleres jährliches Hochwasser (MHQ) · WW-KL-03: Hochwasserabfluss mit einer Jährlichkeit von 100 Jahren</t>
  </si>
  <si>
    <t xml:space="preserve">Belastung oder Versagen von Hochwasserschutzsystemen</t>
  </si>
  <si>
    <t xml:space="preserve">Sturzfluten (Versagen von Entwässerungseinrichtungen und Überflutungsschutzsystemen)</t>
  </si>
  <si>
    <t xml:space="preserve">Einschränkungen der Funktionsfähigkeit von Kanalnetzen und Vorflutern und Kläranlagen</t>
  </si>
  <si>
    <t xml:space="preserve">Gewässertemperatur und Eisbedeckung und biologische Wasserqualität</t>
  </si>
  <si>
    <t xml:space="preserve">Intensiv: Auswirkungen auf ausgewählte Bundeswasserstraßen; extensiv: Auswirkungen auf Seen</t>
  </si>
  <si>
    <t xml:space="preserve">Gewässertemperatur</t>
  </si>
  <si>
    <t xml:space="preserve">WW-KL-04, WW-KL-05</t>
  </si>
  <si>
    <t xml:space="preserve">WW-KL-04: Tage pro Jahr mit einer Wassertemperatur über 25 °C · WW-KL-05: Tage pro Jahr mit einer Wassertemperatur über 28 °C</t>
  </si>
  <si>
    <t xml:space="preserve">Chemische Wasserqualität</t>
  </si>
  <si>
    <t xml:space="preserve">Grundwasserstand und Grundwasserqualität</t>
  </si>
  <si>
    <t xml:space="preserve">Mangel an Bewässerungswasser</t>
  </si>
  <si>
    <t xml:space="preserve">Trinkwasser</t>
  </si>
  <si>
    <t xml:space="preserve">Produktionswasser</t>
  </si>
  <si>
    <t xml:space="preserve">Infrastruktur</t>
  </si>
  <si>
    <t xml:space="preserve">Bauwesen</t>
  </si>
  <si>
    <t xml:space="preserve">Schäden an Gebäuden aufgrund von Starkregen</t>
  </si>
  <si>
    <t xml:space="preserve">Schäden an Gebäuden – 1) aufgrund von Starkregen</t>
  </si>
  <si>
    <t xml:space="preserve">„Schäden an Gebäuden und Infrastrukturen der Bau- und Immobilienwirtschaft“</t>
  </si>
  <si>
    <t xml:space="preserve">Schäden an Gebäuden aufgrund von Flusshochwasser</t>
  </si>
  <si>
    <t xml:space="preserve">Schäden an Gebäuden – 2) aufgrund von Flusshochwasser</t>
  </si>
  <si>
    <t xml:space="preserve">Vegetation in Siedlungen</t>
  </si>
  <si>
    <t xml:space="preserve">Stadtklimatische Funktionen von Siedlungsvegetation</t>
  </si>
  <si>
    <t xml:space="preserve">Trockenheit · Hitze · Vorkommen von Siedlungsflächen</t>
  </si>
  <si>
    <t xml:space="preserve">BAU-KL-01, BAU-KL-02, BAU-KL-03, BAU-SO-04</t>
  </si>
  <si>
    <t xml:space="preserve">BAU-KL-01: Maximale Trockenperiode (CDD) im hydrologischen Sommerhalbjahr · BAU-KL-02: Klimatische Wasserbilanz in der Vegetationsperiode · BAU-KL-03: Anzahl Heiße Tage im Sommer (Juni–August) · BAU-SO-04: Siedlungsflächen</t>
  </si>
  <si>
    <t xml:space="preserve">Stadtklima / Wärmeinseln</t>
  </si>
  <si>
    <t xml:space="preserve">Vorgelagerte Klimawirkung</t>
  </si>
  <si>
    <t xml:space="preserve">Wärmebelastung in Städten</t>
  </si>
  <si>
    <t xml:space="preserve">BAU-KL-05</t>
  </si>
  <si>
    <t xml:space="preserve">BAU-KL-05: Maximale Wärmeinselintensität (UHImax)</t>
  </si>
  <si>
    <t xml:space="preserve">Innenraumklima</t>
  </si>
  <si>
    <t xml:space="preserve">Zeiten für Bautätigkeit</t>
  </si>
  <si>
    <t xml:space="preserve">Naturferne Wirtschaftssysteme</t>
  </si>
  <si>
    <t xml:space="preserve">Energiewirtschaft</t>
  </si>
  <si>
    <t xml:space="preserve">Bedarf an Kühlenergie</t>
  </si>
  <si>
    <t xml:space="preserve">Kühlbedarf</t>
  </si>
  <si>
    <t xml:space="preserve">EW-KL-01</t>
  </si>
  <si>
    <t xml:space="preserve">EW-KL-01: Kühlgradtage (Cooling Degree Days, CDD)</t>
  </si>
  <si>
    <t xml:space="preserve">Bedarf an Heizenergie</t>
  </si>
  <si>
    <t xml:space="preserve">Heizbedarf</t>
  </si>
  <si>
    <t xml:space="preserve">EW-KL-02</t>
  </si>
  <si>
    <t xml:space="preserve">EW-KL-02: Heizgradtage (Heating Degree Days, HDD)</t>
  </si>
  <si>
    <t xml:space="preserve">Chance</t>
  </si>
  <si>
    <t xml:space="preserve">TB 6 Tab. 1 | TB 6 Tab. 2 | TB 2–5 „Übersicht Klimawirkungen“</t>
  </si>
  <si>
    <t xml:space="preserve">Chance: Skala chancenreicher/chancenarmer Fall statt optimistisch/pessimistisch (Tabelle 2)</t>
  </si>
  <si>
    <t xml:space="preserve">Unterbrechung der regionalen Lieferketten für Energieträger</t>
  </si>
  <si>
    <t xml:space="preserve">Mangelndes Kühlwasser für thermische Kraftwerke</t>
  </si>
  <si>
    <t xml:space="preserve">Ertragsminderung / -zunahme bei Photovoltaikanlagen und bei Windenergieanlagen an Land und auf See</t>
  </si>
  <si>
    <t xml:space="preserve">Fehlende Zuverlässigkeit der Energieversorgung</t>
  </si>
  <si>
    <t xml:space="preserve">Verkehr, Verkehrsinfrastruktur</t>
  </si>
  <si>
    <t xml:space="preserve">Schiffbarkeit der Binnenschifffahrtsstraßen (Niedrigwasser)</t>
  </si>
  <si>
    <t xml:space="preserve">VE-KL-01</t>
  </si>
  <si>
    <t xml:space="preserve">VE-KL-01: Tage mit Unterschreitung des Schwellenwerts Q20</t>
  </si>
  <si>
    <t xml:space="preserve">Schiffbarkeit der Binnenschifffahrtsstraßen (Hochwasser)</t>
  </si>
  <si>
    <t xml:space="preserve">VE-KL-02</t>
  </si>
  <si>
    <t xml:space="preserve">VE-KL-02: Tage mit Überschreitung des Schwellenwerts Q01</t>
  </si>
  <si>
    <t xml:space="preserve">Schiffbarkeit der Seeschifffahrtsstraßen</t>
  </si>
  <si>
    <t xml:space="preserve">Schäden / Hindernisse bei Straßen und Schienenwegen (Hochwasser)</t>
  </si>
  <si>
    <t xml:space="preserve">VE-KL-03</t>
  </si>
  <si>
    <t xml:space="preserve">VE-KL-03: Tage über HQ10</t>
  </si>
  <si>
    <t xml:space="preserve">Schäden / Hindernisse bei Straßen und Schienenwegen (Gravitative Massenbewegungen)</t>
  </si>
  <si>
    <t xml:space="preserve">Potenziell gefährdete Strecken</t>
  </si>
  <si>
    <t xml:space="preserve">VE-KL-04</t>
  </si>
  <si>
    <t xml:space="preserve">VE-KL-04: Gesamtlängen der potenziell stark bis sehr stark gefährdeten Bundesverkehrswege</t>
  </si>
  <si>
    <t xml:space="preserve">Schäden an Verkehrsleitsystemen, Oberleitungen und Stromversorgungsanlagen</t>
  </si>
  <si>
    <t xml:space="preserve">Schäden an Binnen- und Seeschifffahrtsstraßen, Häfen und maritimen Infrastrukturen</t>
  </si>
  <si>
    <t xml:space="preserve">Wirtschaft</t>
  </si>
  <si>
    <t xml:space="preserve">Industrie und Gewerbe</t>
  </si>
  <si>
    <t xml:space="preserve">Beeinträchtigung der Versorgung mit Rohstoffen und Zwischenprodukten (international)</t>
  </si>
  <si>
    <t xml:space="preserve">Vulnerabilität in Importländern · Wirtschaftliche Bedeutung · Konzentration der Importe</t>
  </si>
  <si>
    <t xml:space="preserve">IG-KL-01, IG-KL-02, IG-SO-03, IG-SO-04</t>
  </si>
  <si>
    <t xml:space="preserve">IG-KL-01: Mit Importvolumen gewichteter Mittelwert des ND-GAIN-Index · IG-KL-02: Mit Importvolumen gewichteter Mittelwert des Klima-Teilindex · IG-SO-03: Importvolumen in US-Dollar · IG-SO-04: Herfindahl-Hirschmann-Index für die Marktkonzentration</t>
  </si>
  <si>
    <t xml:space="preserve">Bedingungen auf Absatzmärkten (international)</t>
  </si>
  <si>
    <t xml:space="preserve">Vulnerabilität in Exportländern · Wirtschaftliche Bedeutung · Konzentration der Exporte</t>
  </si>
  <si>
    <t xml:space="preserve">IG-KL-05, IG-KL-06, IG-SO-07, IG-SO-08</t>
  </si>
  <si>
    <t xml:space="preserve">IG-KL-05: Mit Exportvolumen gewichteter Mittelwert des ND-GAIN-Index · IG-KL-06: Mit Exportvolumen gewichteter Mittelwert des Klima-Teilindex · IG-SO-07: Exportvolumen in US-Dollar · IG-SO-08: Herfindahl-Hirschmann-Index für die Marktkonzentration</t>
  </si>
  <si>
    <t xml:space="preserve">Wettbewerbsvorteil in innovativen Umwelttechnologien</t>
  </si>
  <si>
    <t xml:space="preserve">Beeinträchtigung des internationalen Warentransports</t>
  </si>
  <si>
    <t xml:space="preserve">Beeinträchtigung des Warenverkehrs über Wasserstraßen (Inland)</t>
  </si>
  <si>
    <t xml:space="preserve">Beeinträchtigung des landgestützten Warenverkehrs (Inland)</t>
  </si>
  <si>
    <t xml:space="preserve">Energieverbrauch und Beeinträchtigung bei der Energieversorgung</t>
  </si>
  <si>
    <t xml:space="preserve">Wasserbedarf</t>
  </si>
  <si>
    <t xml:space="preserve">Freisetzung gefährlicher Stoffe</t>
  </si>
  <si>
    <t xml:space="preserve">Leistungseinbußen von Beschäftigten</t>
  </si>
  <si>
    <t xml:space="preserve">Menschen und soziale Systeme</t>
  </si>
  <si>
    <t xml:space="preserve">Beeinträchtigung von Produktionsprozessen</t>
  </si>
  <si>
    <t xml:space="preserve">Aufwand für die betriebliche Planung</t>
  </si>
  <si>
    <t xml:space="preserve">Tourismuswirtschaft</t>
  </si>
  <si>
    <t xml:space="preserve">Einschränkungen touristischer Angebote: Auswirkungen fehlender Schneesicherheit auf den Wintertourismus</t>
  </si>
  <si>
    <t xml:space="preserve">Einschränkungen touristischer Angebote – 1) Auswirkungen fehlender Schneesicherheit auf den Wintertourismus</t>
  </si>
  <si>
    <t xml:space="preserve">Natürliche Schneesicherheit · Technische Beschneiung · Winterlandschaft</t>
  </si>
  <si>
    <t xml:space="preserve">TOU-KL-01, TOU-KL-02, TOU-KL-03, TOU-KL-04</t>
  </si>
  <si>
    <t xml:space="preserve">TOU-KL-01: Mittlere Anzahl der potenziellen Schneetage (10.12.–31.01.) · TOU-KL-02: Mittlere Anzahl der Niederschlagstage (10.12.–31.01.) · TOU-KL-03: Durchschnittliches Datum der ersten drei aufeinanderfolgenden Beschneiungstage · TOU-KL-04: Mittlere Anzahl der Tage mit einer Schneehöhe ≥ 3 Zentimeter</t>
  </si>
  <si>
    <t xml:space="preserve">Einschränkungen touristischer Angebote: Auswirkungen von Hitze auf den Gesundheitstourismus</t>
  </si>
  <si>
    <t xml:space="preserve">Einschränkungen touristischer Angebote – 2) Auswirkungen von Hitze auf den Gesundheitstourismus</t>
  </si>
  <si>
    <t xml:space="preserve">Schäden an touristischen Infrastrukturen und Betriebsunterbrechungen</t>
  </si>
  <si>
    <t xml:space="preserve">Verlagerung der Nachfrage</t>
  </si>
  <si>
    <t xml:space="preserve">Wirtschaftliche Chancen und Risiken für die Tourismuswirtschaft</t>
  </si>
  <si>
    <t xml:space="preserve">Gesundheit</t>
  </si>
  <si>
    <t xml:space="preserve">Menschliche Gesundheit</t>
  </si>
  <si>
    <t xml:space="preserve">Hitzebelastung</t>
  </si>
  <si>
    <t xml:space="preserve">Hitzebelastung von älteren, alleinstehenden Personen</t>
  </si>
  <si>
    <t xml:space="preserve">Anzahl von Hitzeperioden · Dauer von Hitzeperioden · Wärmebelastung in Städten · Bevölkerungsdichte · Einwohnerzahl · Altersstruktur der Bevölkerung · Soziale Isolation</t>
  </si>
  <si>
    <t xml:space="preserve">GE-KL-01, GE-KL-02, BAU-KL-05, GE-SO-03, GE-SO-04, GE-SO-05, GE-SO-06</t>
  </si>
  <si>
    <t xml:space="preserve">GE-KL-01: Mittlere Anzahl von Hitzeperioden im Jahr · GE-KL-02: Mittlere Anzahl von Tagen je Hitzeperiode · BAU-KL-05: Maximale Wärmeinselintensität (UHImax) · GE-SO-03: Einwohnerinnen und Einwohner je Fläche · GE-SO-04: Anzahl der Einwohnerinnen und Einwohner je Kreis · GE-SO-05: Anteil der Bevölkerung ab 65 Jahre · GE-SO-06: Anteil der Einpersonenhaushalte</t>
  </si>
  <si>
    <t xml:space="preserve">Allergische Reaktionen durch Aeroallergene pflanzlicher Herkunft</t>
  </si>
  <si>
    <t xml:space="preserve">Blühbeginn der Erle</t>
  </si>
  <si>
    <t xml:space="preserve">GE-KL-07</t>
  </si>
  <si>
    <t xml:space="preserve">GE-KL-07: Tag des Blühbeginns der Erle im Jahr</t>
  </si>
  <si>
    <t xml:space="preserve">Potenziell schädliche Mikroorganismen und Algen</t>
  </si>
  <si>
    <t xml:space="preserve">Beginn der gesundheitlich relevanten Aktivität von Vibrio vulnificus in der Ostsee</t>
  </si>
  <si>
    <t xml:space="preserve">Wassertemperatur an der Ostseeküste</t>
  </si>
  <si>
    <t xml:space="preserve">GE-KL-08</t>
  </si>
  <si>
    <t xml:space="preserve">GE-KL-08: Tag im Jahr, an dem das Oberflächenwasser erstmals den Schwellenwert überschreitet</t>
  </si>
  <si>
    <t xml:space="preserve">UV-bedingte Gesundheitsschädigungen (insbesondere Hautkrebs)</t>
  </si>
  <si>
    <t xml:space="preserve">Verbreitung und Abundanzveränderung von möglichen Vektoren</t>
  </si>
  <si>
    <t xml:space="preserve">Atembeschwerden (aufgrund von Luftverunreinigungen)</t>
  </si>
  <si>
    <t xml:space="preserve">Verletzungen und Todesfälle infolge von Extremereignissen</t>
  </si>
  <si>
    <t xml:space="preserve">Auswirkungen auf das Gesundheitssystem</t>
  </si>
  <si>
    <t xml:space="preserve">Klimarisiken auf Ebene der 13 Handlungsfelder</t>
  </si>
  <si>
    <t xml:space="preserve">Quelle: Teilberichte 2–5, jeweils Tabelle „Klimarisiken mit Anpassung im Handlungsfeld …“. Fünfstufige Skala.</t>
  </si>
  <si>
    <t xml:space="preserve">Klimawirkungen</t>
  </si>
  <si>
    <t xml:space="preserve">ohne Anp. – Gegenwart</t>
  </si>
  <si>
    <t xml:space="preserve">ohne Anp. – Mitte optim.</t>
  </si>
  <si>
    <t xml:space="preserve">ohne Anp. – Mitte pessim.</t>
  </si>
  <si>
    <t xml:space="preserve">APA III – 2020–2030</t>
  </si>
  <si>
    <t xml:space="preserve">APA III – Mitte optim.</t>
  </si>
  <si>
    <t xml:space="preserve">APA III – Mitte pessim.</t>
  </si>
  <si>
    <t xml:space="preserve">weiterr. – Mitte optim.</t>
  </si>
  <si>
    <t xml:space="preserve">weiterr. – Mitte pessim.</t>
  </si>
  <si>
    <t xml:space="preserve">Summe</t>
  </si>
  <si>
    <t xml:space="preserve">Indikatoren der quantitativen Operationalisierung</t>
  </si>
  <si>
    <t xml:space="preserve">Quelle: Teilberichte 2–5, Tabellen „Übersicht über Faktoren und Indikatoren …“. Kennblätter zu jedem Indikator stehen im Anhang der KWRA (Climate Change 20/2021).</t>
  </si>
  <si>
    <t xml:space="preserve">Klimawirkung-ID</t>
  </si>
  <si>
    <t xml:space="preserve">Klimawirkung</t>
  </si>
  <si>
    <t xml:space="preserve">Indikatoren-ID</t>
  </si>
  <si>
    <t xml:space="preserve">Faktor</t>
  </si>
  <si>
    <t xml:space="preserve">Indikator</t>
  </si>
  <si>
    <t xml:space="preserve">Effektive Wasserbilanz [mm] während der Hauptvegetationsperiode</t>
  </si>
  <si>
    <t xml:space="preserve">Mittlere jährliche Sickerwasserrate [mm/a]</t>
  </si>
  <si>
    <t xml:space="preserve">Anzahl der Tage mit Bodenfeuchte ≥ 100 Prozent nutzbare Feldkapazität</t>
  </si>
  <si>
    <t xml:space="preserve">LW-KL-01</t>
  </si>
  <si>
    <t xml:space="preserve">Anzahl der Tage mit einem THI &gt; 60 bis 70</t>
  </si>
  <si>
    <t xml:space="preserve">LW-KL-02</t>
  </si>
  <si>
    <t xml:space="preserve">Anzahl der Tage mit einem THI &gt; 70 bis 80</t>
  </si>
  <si>
    <t xml:space="preserve">LW-KL-03</t>
  </si>
  <si>
    <t xml:space="preserve">Anzahl der Tage mit einem THI &gt; 80</t>
  </si>
  <si>
    <t xml:space="preserve">LW-KL-04</t>
  </si>
  <si>
    <t xml:space="preserve">Trockenheit</t>
  </si>
  <si>
    <t xml:space="preserve">Tage mit Bodenfeuchte &lt; 30 % nFK, 01.09.–30.11., Winterweizen</t>
  </si>
  <si>
    <t xml:space="preserve">LW-KL-05</t>
  </si>
  <si>
    <t xml:space="preserve">Tage mit Bodenfeuchte &lt; 30 % nFK, 01.03.–30.06., Winterweizen</t>
  </si>
  <si>
    <t xml:space="preserve">LW-KL-06</t>
  </si>
  <si>
    <t xml:space="preserve">Tage mit Bodenfeuchte &lt; 50 % nFK, 01.09.–30.11., Winterweizen</t>
  </si>
  <si>
    <t xml:space="preserve">LW-KL-07</t>
  </si>
  <si>
    <t xml:space="preserve">Tage mit Bodenfeuchte &lt; 50 % nFK, 01.03.–30.06., Winterweizen</t>
  </si>
  <si>
    <t xml:space="preserve">LW-KL-08</t>
  </si>
  <si>
    <t xml:space="preserve">Mittlere Bodenfeuchte 01.09.–30.11., Winterweizen</t>
  </si>
  <si>
    <t xml:space="preserve">LW-KL-09</t>
  </si>
  <si>
    <t xml:space="preserve">Mittlere Bodenfeuchte 01.03.–30.06., Winterweizen</t>
  </si>
  <si>
    <t xml:space="preserve">LW-KL-10</t>
  </si>
  <si>
    <t xml:space="preserve">Hitze</t>
  </si>
  <si>
    <t xml:space="preserve">Anzahl der Heißen Tage in den Monaten Mai und Juni</t>
  </si>
  <si>
    <t xml:space="preserve">Ökogramme für Buche, Eiche, Fichte und Kiefer</t>
  </si>
  <si>
    <t xml:space="preserve">FW-KL-02</t>
  </si>
  <si>
    <t xml:space="preserve">Schädlingsdruck</t>
  </si>
  <si>
    <t xml:space="preserve">FW-SO-03</t>
  </si>
  <si>
    <t xml:space="preserve">Verbreitung der betroffenen Baumart</t>
  </si>
  <si>
    <t xml:space="preserve">Flächenanteil der Baumgattung Picea (Fichte) am bestockten Holzboden</t>
  </si>
  <si>
    <t xml:space="preserve">Relative Habitateignung der Deutschen Bucht</t>
  </si>
  <si>
    <t xml:space="preserve">Habitateignung der Fließgewässer Baden-Württembergs</t>
  </si>
  <si>
    <t xml:space="preserve">Meerestemperatur in der Deutschen Bucht und der südwestlichen Ostsee</t>
  </si>
  <si>
    <t xml:space="preserve">KUE-KL-02</t>
  </si>
  <si>
    <t xml:space="preserve">Relativer Meeresspiegelanstieg</t>
  </si>
  <si>
    <t xml:space="preserve">Ergebnisse aus der vorgelagerten Klimawirkung „Meeresspiegelhöhe“</t>
  </si>
  <si>
    <t xml:space="preserve">KUE-KL-03</t>
  </si>
  <si>
    <t xml:space="preserve">Niederschlag</t>
  </si>
  <si>
    <t xml:space="preserve">Anzahl der Tage mit einem Tagesniederschlag über Schwellenwert</t>
  </si>
  <si>
    <t xml:space="preserve">KUE-KL-04</t>
  </si>
  <si>
    <t xml:space="preserve">Überflutungsdauern an der Deutschen Bucht</t>
  </si>
  <si>
    <t xml:space="preserve">Mittlere Überflutungsdauer des Wattenmeers je Tide</t>
  </si>
  <si>
    <t xml:space="preserve">KUE-KL-05</t>
  </si>
  <si>
    <t xml:space="preserve">Küstenverändernde Prozesse Ostseeküste</t>
  </si>
  <si>
    <t xml:space="preserve">Abtrag, Anlandung und Ausgleich für ausgewählte Küstenabschnitte</t>
  </si>
  <si>
    <t xml:space="preserve">KUE-KL-06</t>
  </si>
  <si>
    <t xml:space="preserve">Potenzielle Überflutungsflächen / Wasserstand</t>
  </si>
  <si>
    <t xml:space="preserve">Seeseitige Überflutungsgebiete für ein Ereignis nach HWRM-RL</t>
  </si>
  <si>
    <t xml:space="preserve">KUE-SO-07</t>
  </si>
  <si>
    <t xml:space="preserve">Risikopotenzial durch ein seeseitiges Hochwasserereignis</t>
  </si>
  <si>
    <t xml:space="preserve">Potenzielle nachteilige Folgen von einem seeseitigen Hochwasserereignis</t>
  </si>
  <si>
    <t xml:space="preserve">KUE-SO-08</t>
  </si>
  <si>
    <t xml:space="preserve">Vorkommen von Siedlung und Infrastruktur in der Küstenzone</t>
  </si>
  <si>
    <t xml:space="preserve">Siedlungs- und Verkehrsfläche in potenziellen Überflutungsgebieten</t>
  </si>
  <si>
    <t xml:space="preserve">Relativer Meeresspiegelanstieg an der deutschen Küste</t>
  </si>
  <si>
    <t xml:space="preserve">Ergebnisse aus der vorgelagerten Klimawirkung</t>
  </si>
  <si>
    <t xml:space="preserve">Niederschlag und Binnenzufluss</t>
  </si>
  <si>
    <t xml:space="preserve">Anzahl der Tage mit einem Tagesniederschlag</t>
  </si>
  <si>
    <t xml:space="preserve">KUE-KL-09</t>
  </si>
  <si>
    <t xml:space="preserve">Mittlere Niederschlagssumme im Winter</t>
  </si>
  <si>
    <t xml:space="preserve">NM7Q – niedrigster Mittelwert von sieben aufeinanderfolgenden Tagen</t>
  </si>
  <si>
    <t xml:space="preserve">WW-KL-02</t>
  </si>
  <si>
    <t xml:space="preserve">Mittleres Hochwasser</t>
  </si>
  <si>
    <t xml:space="preserve">Mittleres jährliches Hochwasser (MHQ)</t>
  </si>
  <si>
    <t xml:space="preserve">WW-KL-03</t>
  </si>
  <si>
    <t xml:space="preserve">Hundertjährliches Hochwasser</t>
  </si>
  <si>
    <t xml:space="preserve">Hochwasserabfluss mit einer Jährlichkeit von 100 Jahren</t>
  </si>
  <si>
    <t xml:space="preserve">WW-KL-04</t>
  </si>
  <si>
    <t xml:space="preserve">Tage pro Jahr mit einer Wassertemperatur über 25 °C</t>
  </si>
  <si>
    <t xml:space="preserve">WW-KL-05</t>
  </si>
  <si>
    <t xml:space="preserve">Tage pro Jahr mit einer Wassertemperatur über 28 °C</t>
  </si>
  <si>
    <t xml:space="preserve">BAU-KL-01</t>
  </si>
  <si>
    <t xml:space="preserve">Maximale Trockenperiode (CDD) im hydrologischen Sommerhalbjahr</t>
  </si>
  <si>
    <t xml:space="preserve">BAU-KL-02</t>
  </si>
  <si>
    <t xml:space="preserve">Klimatische Wasserbilanz in der Vegetationsperiode</t>
  </si>
  <si>
    <t xml:space="preserve">BAU-KL-03</t>
  </si>
  <si>
    <t xml:space="preserve">Anzahl Heiße Tage im Sommer (Juni–August)</t>
  </si>
  <si>
    <t xml:space="preserve">BAU-SO-04</t>
  </si>
  <si>
    <t xml:space="preserve">Vorkommen von Siedlungsflächen</t>
  </si>
  <si>
    <t xml:space="preserve">Siedlungsflächen</t>
  </si>
  <si>
    <t xml:space="preserve">Maximale Wärmeinselintensität (UHImax)</t>
  </si>
  <si>
    <t xml:space="preserve">Kühlgradtage (Cooling Degree Days, CDD)</t>
  </si>
  <si>
    <t xml:space="preserve">Heizgradtage (Heating Degree Days, HDD)</t>
  </si>
  <si>
    <t xml:space="preserve">Tage mit Unterschreitung des Schwellenwerts Q20</t>
  </si>
  <si>
    <t xml:space="preserve">Tage mit Überschreitung des Schwellenwerts Q01</t>
  </si>
  <si>
    <t xml:space="preserve">Tage über HQ10</t>
  </si>
  <si>
    <t xml:space="preserve">Gesamtlängen der potenziell stark bis sehr stark gefährdeten Bundesverkehrswege</t>
  </si>
  <si>
    <t xml:space="preserve">IG-KL-01</t>
  </si>
  <si>
    <t xml:space="preserve">Vulnerabilität in Importländern</t>
  </si>
  <si>
    <t xml:space="preserve">Mit Importvolumen gewichteter Mittelwert des ND-GAIN-Index</t>
  </si>
  <si>
    <t xml:space="preserve">IG-KL-02</t>
  </si>
  <si>
    <t xml:space="preserve">Mit Importvolumen gewichteter Mittelwert des Klima-Teilindex</t>
  </si>
  <si>
    <t xml:space="preserve">IG-SO-03</t>
  </si>
  <si>
    <t xml:space="preserve">Wirtschaftliche Bedeutung</t>
  </si>
  <si>
    <t xml:space="preserve">Importvolumen in US-Dollar</t>
  </si>
  <si>
    <t xml:space="preserve">IG-SO-04</t>
  </si>
  <si>
    <t xml:space="preserve">Konzentration der Importe</t>
  </si>
  <si>
    <t xml:space="preserve">Herfindahl-Hirschmann-Index für die Marktkonzentration</t>
  </si>
  <si>
    <t xml:space="preserve">IG-KL-05</t>
  </si>
  <si>
    <t xml:space="preserve">Vulnerabilität in Exportländern</t>
  </si>
  <si>
    <t xml:space="preserve">Mit Exportvolumen gewichteter Mittelwert des ND-GAIN-Index</t>
  </si>
  <si>
    <t xml:space="preserve">IG-KL-06</t>
  </si>
  <si>
    <t xml:space="preserve">Mit Exportvolumen gewichteter Mittelwert des Klima-Teilindex</t>
  </si>
  <si>
    <t xml:space="preserve">IG-SO-07</t>
  </si>
  <si>
    <t xml:space="preserve">Exportvolumen in US-Dollar</t>
  </si>
  <si>
    <t xml:space="preserve">IG-SO-08</t>
  </si>
  <si>
    <t xml:space="preserve">Konzentration der Exporte</t>
  </si>
  <si>
    <t xml:space="preserve">TOU-KL-01</t>
  </si>
  <si>
    <t xml:space="preserve">Natürliche Schneesicherheit</t>
  </si>
  <si>
    <t xml:space="preserve">Mittlere Anzahl der potenziellen Schneetage (10.12.–31.01.)</t>
  </si>
  <si>
    <t xml:space="preserve">TOU-KL-02</t>
  </si>
  <si>
    <t xml:space="preserve">Mittlere Anzahl der Niederschlagstage (10.12.–31.01.)</t>
  </si>
  <si>
    <t xml:space="preserve">TOU-KL-03</t>
  </si>
  <si>
    <t xml:space="preserve">Technische Beschneiung</t>
  </si>
  <si>
    <t xml:space="preserve">Durchschnittliches Datum der ersten drei aufeinanderfolgenden Beschneiungstage</t>
  </si>
  <si>
    <t xml:space="preserve">TOU-KL-04</t>
  </si>
  <si>
    <t xml:space="preserve">Winterlandschaft</t>
  </si>
  <si>
    <t xml:space="preserve">Mittlere Anzahl der Tage mit einer Schneehöhe ≥ 3 Zentimeter</t>
  </si>
  <si>
    <t xml:space="preserve">GE-KL-01</t>
  </si>
  <si>
    <t xml:space="preserve">Anzahl von Hitzeperioden</t>
  </si>
  <si>
    <t xml:space="preserve">Mittlere Anzahl von Hitzeperioden im Jahr</t>
  </si>
  <si>
    <t xml:space="preserve">GE-KL-02</t>
  </si>
  <si>
    <t xml:space="preserve">Dauer von Hitzeperioden</t>
  </si>
  <si>
    <t xml:space="preserve">Mittlere Anzahl von Tagen je Hitzeperiode</t>
  </si>
  <si>
    <t xml:space="preserve">GE-SO-03</t>
  </si>
  <si>
    <t xml:space="preserve">Bevölkerungsdichte</t>
  </si>
  <si>
    <t xml:space="preserve">Einwohnerinnen und Einwohner je Fläche</t>
  </si>
  <si>
    <t xml:space="preserve">GE-SO-04</t>
  </si>
  <si>
    <t xml:space="preserve">Einwohnerzahl</t>
  </si>
  <si>
    <t xml:space="preserve">Anzahl der Einwohnerinnen und Einwohner je Kreis</t>
  </si>
  <si>
    <t xml:space="preserve">GE-SO-05</t>
  </si>
  <si>
    <t xml:space="preserve">Altersstruktur der Bevölkerung</t>
  </si>
  <si>
    <t xml:space="preserve">Anteil der Bevölkerung ab 65 Jahre</t>
  </si>
  <si>
    <t xml:space="preserve">GE-SO-06</t>
  </si>
  <si>
    <t xml:space="preserve">Soziale Isolation</t>
  </si>
  <si>
    <t xml:space="preserve">Anteil der Einpersonenhaushalte</t>
  </si>
  <si>
    <t xml:space="preserve">Tag des Blühbeginns der Erle im Jahr</t>
  </si>
  <si>
    <t xml:space="preserve">Tag im Jahr, an dem das Oberflächenwasser erstmals den Schwellenwert überschreitet</t>
  </si>
  <si>
    <t xml:space="preserve">Wirkungsmechanismen je Klimawirkung — Hazard / Vulnerabilität / Exposition</t>
  </si>
  <si>
    <t xml:space="preserve">Quelle: UBA (2016), Klimawirkungsketten — visuell aus den Diagrammen abgelesen. NICHT Teil der KWRA-2021-Bewertung. Namensstand der Vulnerabilitätsanalyse 2015, auf die KWRA-2021-Klimawirkungen abgebildet. Die Exposition ist in der Quelle nur je Handlungsfeld definiert, nicht je Klimawirkung. Zuordnungsebene „Container" heißt: Der Pfeil zeigt auf das Themenfeld und gilt für alle Klimawirkungen darin.</t>
  </si>
  <si>
    <t xml:space="preserve">Klimawirkung (KWRA 2021)</t>
  </si>
  <si>
    <t xml:space="preserve">Hazard – klimatische Einflüsse</t>
  </si>
  <si>
    <t xml:space="preserve">Hazard – vorgelagerte Klimawirkungen</t>
  </si>
  <si>
    <t xml:space="preserve">Vulnerabilität – Sensitivitätsfaktoren</t>
  </si>
  <si>
    <t xml:space="preserve">Exposition – räumliches Vorkommen (Handlungsfeldebene)</t>
  </si>
  <si>
    <t xml:space="preserve">Zuordnungsebene</t>
  </si>
  <si>
    <t xml:space="preserve">Name in der Wirkungskette 2016</t>
  </si>
  <si>
    <t xml:space="preserve">Status</t>
  </si>
  <si>
    <t xml:space="preserve">Durchschnittstemperatur</t>
  </si>
  <si>
    <t xml:space="preserve">Länge der Vegetationsperiode</t>
  </si>
  <si>
    <t xml:space="preserve">Habitat-, Biotop-, Ökosystemeigenschaften · Topographie und Landnutzung</t>
  </si>
  <si>
    <t xml:space="preserve">Vorkommen von Arealen, Arten und Populationen · Vorkommen von Biotopen, Habitaten und Ökosystemen</t>
  </si>
  <si>
    <t xml:space="preserve">Phänologie; Phänologie und Verhalten; Länge der Vegetationsperiode</t>
  </si>
  <si>
    <t xml:space="preserve">ausgelesen</t>
  </si>
  <si>
    <t xml:space="preserve">Vegetation · Tierwelt</t>
  </si>
  <si>
    <t xml:space="preserve">Klimawirkung / V auf Container</t>
  </si>
  <si>
    <t xml:space="preserve">Beeinträchtigung der Vitalität von Pflanzen · Beeinträchtigung der Vitalität von Tieren</t>
  </si>
  <si>
    <t xml:space="preserve">Habitat-, Biotop-, Ökosystemeigenschaften</t>
  </si>
  <si>
    <t xml:space="preserve">Verlust an Genressourcen</t>
  </si>
  <si>
    <t xml:space="preserve">Durchschnittstemperatur · Durchschnittlicher Niederschlag</t>
  </si>
  <si>
    <t xml:space="preserve">Beeinträchtigung der Vitalität von Pflanzen · Beeinträchtigung der Vitalität von Tieren · Verschiebung von Arealen · Ausbreitung invasiver Arten</t>
  </si>
  <si>
    <t xml:space="preserve">Verschiebung von Arealen; Rückgang der Bestände</t>
  </si>
  <si>
    <t xml:space="preserve">Naturräumliche Schäden an Küsten</t>
  </si>
  <si>
    <t xml:space="preserve">Schäden an Küstenökosytemen</t>
  </si>
  <si>
    <t xml:space="preserve">Schäden an Gebirgsökosytemen</t>
  </si>
  <si>
    <t xml:space="preserve">Beeinträchtigung der Vitalität von Pflanzen · Beeinträchtigung der Vitalität von Tieren · Abfluss und Wasserstand von Oberflächengewässern · Grundwasserstand</t>
  </si>
  <si>
    <t xml:space="preserve">Container</t>
  </si>
  <si>
    <t xml:space="preserve">Areale, Arten und Populationen · Biotope, Habitate, Ökosysteme</t>
  </si>
  <si>
    <t xml:space="preserve">Bereitstellende Dienstleistungen; Regulierende Dienstleistungen</t>
  </si>
  <si>
    <t xml:space="preserve">Nässe · Starkregen · Trockenheit</t>
  </si>
  <si>
    <t xml:space="preserve">Rutschungen und Muren · Hochwasser · Sturzfluten</t>
  </si>
  <si>
    <t xml:space="preserve">Bodenart und Bodentyp · Topographie und Landnutzung</t>
  </si>
  <si>
    <t xml:space="preserve">Vorkommen von Bodenart und Bodentyp · Vorkommen von unversiegelter Fläche</t>
  </si>
  <si>
    <t xml:space="preserve">Starkwind · Trockenheit</t>
  </si>
  <si>
    <t xml:space="preserve">Starkregen · Nässe</t>
  </si>
  <si>
    <t xml:space="preserve">Topographie und Landnutzung · Boden- und Gesteinsschichtung</t>
  </si>
  <si>
    <t xml:space="preserve">Hitze · Trockenheit</t>
  </si>
  <si>
    <t xml:space="preserve">Grundwasserstand</t>
  </si>
  <si>
    <t xml:space="preserve">Bodeneigenschaften · Topographie und Landnutzung · Bewässerung</t>
  </si>
  <si>
    <t xml:space="preserve">Durchschnittlicher Niederschlag · Hitze · Trockenheit · Nässe · Starkregen</t>
  </si>
  <si>
    <t xml:space="preserve">Nässe · Starkregen</t>
  </si>
  <si>
    <t xml:space="preserve">Bodenwärmehaushalt · Bodenwasserhaushalt · Erosion</t>
  </si>
  <si>
    <t xml:space="preserve">Bodeneigenschaften</t>
  </si>
  <si>
    <t xml:space="preserve">Mikrobiologische Aktivität; Zusammensetzung von Bodenorganismen / Boden-Biodiversität; Funktionalität der Zersetzerkette</t>
  </si>
  <si>
    <t xml:space="preserve">Bodenwärmehaushalt · Bodenwasserhaushalt</t>
  </si>
  <si>
    <t xml:space="preserve">Bodenart und Bodentyp · Bodentextur (Porenvolumen und -verteilung)</t>
  </si>
  <si>
    <t xml:space="preserve">Organische Bodensubstanz, Stickstoff- und Phosphorhaushalt, Stoffausträge</t>
  </si>
  <si>
    <t xml:space="preserve">Bodenwasserhaushalt · Bodenwärmehaushalt · Bodenstoffhaushalt · Bodenbiologie · Bodenstruktur · Erosion · Gravitative Massenbewegungen · Versalzung des Bodens, des Grundwassers und von Flussmündungen</t>
  </si>
  <si>
    <t xml:space="preserve">Bodeneigenschaften · Bodenbearbeitung · Topographie und Landnutzung</t>
  </si>
  <si>
    <t xml:space="preserve">Filter- / Pufferfunktionen (Wasser, Schadstoffe, etc.)</t>
  </si>
  <si>
    <t xml:space="preserve">Bodenwasserhaushalt · Bodenwärmehaushalt · Bodenstoffhaushalt · Bodenbiologie · Bodenstruktur · Erosion · Gravitative Massenbewegungen · Versalzung des Bodens, des Grundwassers und von Flussmündungen · Nährstoffspeicherfunktionen (C, N, etc.) · Filter- / Pufferfunktionen (Wasser, Schadstoffe, etc.)</t>
  </si>
  <si>
    <t xml:space="preserve">Container + Klimawirkung</t>
  </si>
  <si>
    <t xml:space="preserve">Produktionsfunktionen (Standortstabilität, Bodenfruchtbarkeit)</t>
  </si>
  <si>
    <t xml:space="preserve">Beeinträchtigung der Vitalität von Tieren · Tiergesundheit · Ertrag und Qualität der Ernteprodukte</t>
  </si>
  <si>
    <t xml:space="preserve">Tierart · Züchterischer Fortschritt · Möglichkeiten der Veterinärmedizin</t>
  </si>
  <si>
    <t xml:space="preserve">Vorkommen von landwirtschaftlicher Nutzfläche · Vorkommen von Anbauart · Vorkommen von Tierhaltung · Vorkommen von landwirtschaftlicher Infrastruktur</t>
  </si>
  <si>
    <t xml:space="preserve">Hitzestress bei Tieren; Leistung von Viehhaltung, Milchwirtschaft</t>
  </si>
  <si>
    <t xml:space="preserve">Hitze · Früh- und Spätfröste · Wechselfrost · Hagel · Starkwind · Starkregen · Trockenheit</t>
  </si>
  <si>
    <t xml:space="preserve">Erosion · Bodenwasserhaushalt · Beeinträchtigung der Vitalität von Pflanzen</t>
  </si>
  <si>
    <t xml:space="preserve">Anbaufrucht · Dünger- und Pestizideinsatz · Züchterischer Fortschritt · Vorhandensein von Hagelschutz</t>
  </si>
  <si>
    <t xml:space="preserve">Abiotischer Stress</t>
  </si>
  <si>
    <t xml:space="preserve">Phänologie</t>
  </si>
  <si>
    <t xml:space="preserve">Durchschnittstemperatur · Hitze · Nässe</t>
  </si>
  <si>
    <t xml:space="preserve">Beeinträchtigung der Vitalität von Pflanzen</t>
  </si>
  <si>
    <t xml:space="preserve">Stress durch Schädlinge und Krankheiten</t>
  </si>
  <si>
    <t xml:space="preserve">Bodenwasserhaushalt · Pflanzengesundheit · Agrophänologie · Bewässerungswasser · Bodenfunktionen</t>
  </si>
  <si>
    <t xml:space="preserve">Qualität</t>
  </si>
  <si>
    <t xml:space="preserve">Bodenwasserhaushalt · Beeinträchtigung der Vitalität von Pflanzen</t>
  </si>
  <si>
    <t xml:space="preserve">Baumart · Baumalter / Altersstruktur</t>
  </si>
  <si>
    <t xml:space="preserve">Vorkommen von Waldfläche · Vorkommen von Baumarten</t>
  </si>
  <si>
    <t xml:space="preserve">Durchschnittstemperatur · Starkregen · Hitze · Nässe · Trockenheit · Früh- und Spätfröste</t>
  </si>
  <si>
    <t xml:space="preserve">Bodenwasserhaushalt · Forstphänologische Phasen und Wachstumsperiode · Beeinträchtigung der Vitalität von Pflanzen</t>
  </si>
  <si>
    <t xml:space="preserve">Baumhöhe</t>
  </si>
  <si>
    <t xml:space="preserve">CO2-Konzentration</t>
  </si>
  <si>
    <t xml:space="preserve">Bodenwasserhaushalt · Forstphänologische Phasen und Wachstumsperiode · Vitalität / Mortalitätseffekte · Baumartenzusammensetzung · Schäden an Wäldern · Areale, Arten und Populationen</t>
  </si>
  <si>
    <t xml:space="preserve">Waldstruktur · Standortbedingungen · Topographie und Landnutzung · Forstliche Bewirtschaftung</t>
  </si>
  <si>
    <t xml:space="preserve">Nutzfunktionen (Ertrag)</t>
  </si>
  <si>
    <t xml:space="preserve">Erholungsfunktionen</t>
  </si>
  <si>
    <t xml:space="preserve">Gewässerzustand der Meere · Gewässerzustand von Oberflächengewässern · Abfluss und Wasserstand von Oberflächengewässern · Strömungen und Gezeitendynamik · Sturmfluten · Beeinträchtigung der Vitalität von Tieren · Fischgesundheit · Areale, Arten und Populationen · Phänologie und Verhalten · Reproduktion, Wachstum und Sterblichkeit kommerziell genutzter Arten</t>
  </si>
  <si>
    <t xml:space="preserve">Fischbestand · Eigenschaften von Oberflächengewässern · Meerwasserqualität und Küsteneigenschaften</t>
  </si>
  <si>
    <t xml:space="preserve">Vorkommen von kommerziell relevanten Fischarten und -populationen · Vorkommen von Aquakulturen · Vorkommen von fischereiwirtschaftlicher Infrastruktur</t>
  </si>
  <si>
    <t xml:space="preserve">Wirkkomplex: Abiotischer Stress; Abundanz von Fischbeständen, Artenspektrum; Wachstum, Reproduktion und Sterblichkeit von Fischbeständen</t>
  </si>
  <si>
    <t xml:space="preserve">Gewässerzustand der Meere · Gewässerzustand von Oberflächengewässern · Abfluss und Wasserstand von Oberflächengewässern · Strömungen und Gezeitendynamik · Sturmfluten · Beeinträchtigung der Vitalität von Tieren</t>
  </si>
  <si>
    <t xml:space="preserve">Fischart · Infektionsanfälligkeit</t>
  </si>
  <si>
    <t xml:space="preserve">Abfluss und Wasserstand von Oberflächengewässern · Wasserstand der Meere</t>
  </si>
  <si>
    <t xml:space="preserve">Aquakultursystem (Offene Systeme, Geschlossene Systeme, etc.)</t>
  </si>
  <si>
    <t xml:space="preserve">Durchschnittstemperatur · Hitze · Kälte / Frost · Sonnenscheindauer · Durchschnittliche Windgeschwindigkeit · Starkwind</t>
  </si>
  <si>
    <t xml:space="preserve">Eigenschaften des Meeres</t>
  </si>
  <si>
    <t xml:space="preserve">Vorkommen von Küsten, Wattenmeere, Ästuare · Vorkommen von Meeren · Vorkommen von Bauwerken und Infrastruktur in der Küstenzone</t>
  </si>
  <si>
    <t xml:space="preserve">CO2-Konzentration · Durchschnittstemperatur · Hitze · Trockenheit · Sonnenscheindauer · Durchschnittliche Windgeschwindigkeit · Starkwind</t>
  </si>
  <si>
    <t xml:space="preserve">Sturmfluten · Meeresspiegelhöhe · Strömungen und Gezeitendynamik</t>
  </si>
  <si>
    <t xml:space="preserve">Meerwasserqualität · Stoffeintrag direkt ins Meer (Öl, Abwasser, etc.) · Stoffeintrag über Oberflächengewässer</t>
  </si>
  <si>
    <t xml:space="preserve">Biologische Wasserqualität (Eutrophierung, Blaualgen); Chemische Wasserqualität (Sauerstoffmangel, Versauerung, Salinität)</t>
  </si>
  <si>
    <t xml:space="preserve">Durchschnittliche Windgeschwindigkeit · Starkwind</t>
  </si>
  <si>
    <t xml:space="preserve">Strömungen und Gezeitendynamik · Sturmfluten</t>
  </si>
  <si>
    <t xml:space="preserve">Starkwind</t>
  </si>
  <si>
    <t xml:space="preserve">Meeresspiegelhöhe · Strömungen und Gezeitendynamik</t>
  </si>
  <si>
    <t xml:space="preserve">Eigenschaften des Meeres · Küstentopographie</t>
  </si>
  <si>
    <t xml:space="preserve">Sturmfluten · Meeresspiegelhöhe · Strömungen und Gezeitendynamik · Gewässerzustand der Meere</t>
  </si>
  <si>
    <t xml:space="preserve">Küstentopographie</t>
  </si>
  <si>
    <t xml:space="preserve">Starkregen · Starkwind</t>
  </si>
  <si>
    <t xml:space="preserve">Meeresspiegelhöhe · Strömungen und Gezeitendynamik · Sturmfluten</t>
  </si>
  <si>
    <t xml:space="preserve">Art und Zustand von Deichen und anderer Schutzinfrastruktur</t>
  </si>
  <si>
    <t xml:space="preserve">Höhere Belastung oder Versagen von Küstenschutzsystemen · Meeresspiegelhöhe · Strömungen und Gezeitendynamik · Sturmfluten</t>
  </si>
  <si>
    <t xml:space="preserve">Art und Zustand von Bauwerken und Küsteninfrastruktur</t>
  </si>
  <si>
    <t xml:space="preserve">Meeresspiegelhöhe · Sturmfluten</t>
  </si>
  <si>
    <t xml:space="preserve">Überlastung der Entwässerungseinrichtungen in niedrig gelegenen Marschgebieten</t>
  </si>
  <si>
    <t xml:space="preserve">Topographie und Landnutzung · Gewässereigenschaften</t>
  </si>
  <si>
    <t xml:space="preserve">Vorkommen von Oberflächengewässer und Grundwasser · Vorkommen von Abwasser- und Entwässerungssystemen · Vorkommen von Infrastruktur an Binnengewässern</t>
  </si>
  <si>
    <t xml:space="preserve">Schneeschmelze · Nässe · Starkregen</t>
  </si>
  <si>
    <t xml:space="preserve">Hochwasser · Sturzfluten</t>
  </si>
  <si>
    <t xml:space="preserve">Art und Zustand von Hochwasserschutzinfrastruktur</t>
  </si>
  <si>
    <t xml:space="preserve">Belastung oder Versagen von Hochwasserschutzsystemen (insb. Deiche)</t>
  </si>
  <si>
    <t xml:space="preserve">Starkregen</t>
  </si>
  <si>
    <t xml:space="preserve">Sturzfluten</t>
  </si>
  <si>
    <t xml:space="preserve">Abfluss und Wasserstand von Oberflächengewässern · Gewässerzustand von Oberflächengewässern · Grundwasser · Wassernutzung</t>
  </si>
  <si>
    <t xml:space="preserve">Art und Zustand der Entwässerungssysteme (Kläranlagen, Kanalisationsnetz)</t>
  </si>
  <si>
    <t xml:space="preserve">Einschränkungen der Funktionsfähigkeit von Kläranlagen; Einschränkungen der Funktionsfähigkeit von Kanalnetzen und Vorflutern</t>
  </si>
  <si>
    <t xml:space="preserve">Durchschnittstemperatur · Hitze · Kälte / Frost · Schneeschmelze · Sonnenscheindauer · Trockenheit · Nässe · Starkregen</t>
  </si>
  <si>
    <t xml:space="preserve">Mittlerer Abfluss</t>
  </si>
  <si>
    <t xml:space="preserve">Gewässerstruktur (Beschattung, Gewässerbett, Verengungen)</t>
  </si>
  <si>
    <t xml:space="preserve">Gewässertemperatur und Eisbedeckung; Biologische Wasserqualität (Eutrophierung, Blaualgen)</t>
  </si>
  <si>
    <t xml:space="preserve">Durchschnittstemperatur · Trockenheit · Starkregen · Hitze · Sonnenscheindauer</t>
  </si>
  <si>
    <t xml:space="preserve">Stoffeintrag aus Landwirtschaft und Industrie (Stickstoff, Phosphor, Pestizide)</t>
  </si>
  <si>
    <t xml:space="preserve">Chemische Wasserqualität (Sauerstoffmangel)</t>
  </si>
  <si>
    <t xml:space="preserve">Durchschnittlicher Niederschlag</t>
  </si>
  <si>
    <t xml:space="preserve">Mittlerer Abfluss · Niedrigwasser · Biologische Wasserqualität · Chemische Wasserqualität · Versalzung des Bodens, des Grundwassers und von Flussmündungen</t>
  </si>
  <si>
    <t xml:space="preserve">Bodeneigenschaften und Geologie · Grundwasserleiter · Stoffeintrag aus Landwirtschaft und Industrie</t>
  </si>
  <si>
    <t xml:space="preserve">Grundwasserstand; Grundwasserqualität</t>
  </si>
  <si>
    <t xml:space="preserve">Grundwasser · Gewässerzustand von Oberflächengewässern</t>
  </si>
  <si>
    <t xml:space="preserve">Bewässerungswasser</t>
  </si>
  <si>
    <t xml:space="preserve">Hagel · Starkregen · Starkwind · Schnee- und Eisdruck · Hitze · Kälte / Frost</t>
  </si>
  <si>
    <t xml:space="preserve">Abfluss und Wasserstand von Oberflächengewässern · Gravitative Massenbewegungen · Grundwasserstand · Einschränkungen der Funktionsfähigkeit von Kanalnetzen und Vorflutern</t>
  </si>
  <si>
    <t xml:space="preserve">Zustand von Gebäuden und Infrastrukturen · Verwendete Baumaterialien auf Gebäudeebene · Bauliche, organisatorische und finanzielle Vorsorge der Eigentümer und Nutzer · Zustand von (Schutz-)Infrastrukturen · Investitionen der Bau- und Immobilienwirtschaft in exponierten Gebieten</t>
  </si>
  <si>
    <t xml:space="preserve">Vorkommen von Bau- und Immobilienunternehmen · Vorkommen von Gebäuden · Vorkommen von Siedlungsinfrastrukturen</t>
  </si>
  <si>
    <t xml:space="preserve">Schäden an Gebäuden und Infrastrukturen</t>
  </si>
  <si>
    <t xml:space="preserve">Wasserstand der Meere · Abfluss und Wasserstand von Oberflächengewässern · Gravitative Massenbewegungen · Grundwasserstand · Einschränkungen der Funktionsfähigkeit von Kanalnetzen und Vorflutern</t>
  </si>
  <si>
    <t xml:space="preserve">Verschiebung von Arealen</t>
  </si>
  <si>
    <t xml:space="preserve">Begrünung von Städten / Siedlungen · Grad der Versiegelung · Bauliche, organisatorische und finanzielle Vorsorge der öffentlichen Hand</t>
  </si>
  <si>
    <t xml:space="preserve">Hitze · Sonnenscheindauer</t>
  </si>
  <si>
    <t xml:space="preserve">Begrünung von Städten / Siedlungen · Grad der Versiegelung</t>
  </si>
  <si>
    <t xml:space="preserve">Stadtklima/Wärmeinseln</t>
  </si>
  <si>
    <t xml:space="preserve">Hitze · Kälte / Frost · Luftfeuchtigkeit · Sonnenscheindauer · Nässe</t>
  </si>
  <si>
    <t xml:space="preserve">Verwendete Baumaterialien auf Gebäudeebene · Begrünung von Gebäuden</t>
  </si>
  <si>
    <t xml:space="preserve">Jahreszeiten · Sonnenscheindauer · Durchschnittstemperatur · Durchschnittlicher Niederschlag · Starkwind</t>
  </si>
  <si>
    <t xml:space="preserve">Abhängigkeit von konstanten Klimabedingungen bei Produktion und Lagerung</t>
  </si>
  <si>
    <t xml:space="preserve">Durchschnittstemperatur · Hitze · Luftfeuchtigkeit</t>
  </si>
  <si>
    <t xml:space="preserve">Energieeffizienz von Wärme- und Kühltechnologien · Wärmeschutz / Dämmung von Gebäuden und Anlagen · Energienachfrage allgemein</t>
  </si>
  <si>
    <t xml:space="preserve">Vorkommen von Energieunternehmen und Einrichtungen zur Energieumwandlung · Vorkommen von Übertragungsinfrastrukturen · Vorkommen von Energieverbrauchern</t>
  </si>
  <si>
    <t xml:space="preserve">Durchschnittstemperatur · Kälte / Frost · Luftfeuchtigkeit</t>
  </si>
  <si>
    <t xml:space="preserve">Schiffbarkeit der Wasserstraßen</t>
  </si>
  <si>
    <t xml:space="preserve">Vorhaltung von Energieträgern · Abhängigkeit vom Import von Primärenergieträgern</t>
  </si>
  <si>
    <t xml:space="preserve">Unterbrechung der regionalen Lieferketten für Kohle</t>
  </si>
  <si>
    <t xml:space="preserve">Gewässertemperatur · Niedrigwasser</t>
  </si>
  <si>
    <t xml:space="preserve">Abhängigkeit von Kühlwasser aus Flüssen · Abhängigkeit von Kühlwassereinleitungen in Flüsse</t>
  </si>
  <si>
    <t xml:space="preserve">Durchschnittliche Windgeschwindigkeit · Starkwind · Durchschnittlicher Niederschlag · Intensiver Schneefall · Luftfeuchtigkeit · Nässe · Sonnenscheindauer</t>
  </si>
  <si>
    <t xml:space="preserve">Schäden an Kraftwerken und Erzeugungsanlagen</t>
  </si>
  <si>
    <t xml:space="preserve">Zustand und Ausstattung von Erzeugungsanlagen · Bauliche, organisatorische und finanzielle Vorsorge der Energieproduzenten</t>
  </si>
  <si>
    <t xml:space="preserve">Ertragsausfall/-zunahme bei Photovoltaikanlagen; Ertragsausfall/-zunahme bei Windenergieanlagen an Land und auf See</t>
  </si>
  <si>
    <t xml:space="preserve">Globales Klima</t>
  </si>
  <si>
    <t xml:space="preserve">Ertragsausfall bei thermischen Kraftwerken · Ertragsausfall bei Wasserkraftwerken · Ertragsausfall/-zunahme bei Photovoltaikanlagen · Ertragsausfall/-zunahme bei Windenergieanlagen an Land und auf See · Energietransport</t>
  </si>
  <si>
    <t xml:space="preserve">Risikomanagement der Energieproduzenten · Anteil einzelner Energieerzeugungstechnologien an der Gesamterzeugung · Abhängigkeit von Energieimporten · Energienachfrage allgemein</t>
  </si>
  <si>
    <t xml:space="preserve">Niedrigwasser · Oberflächengewässer: Eisbedeckung · Schäden an Binnenwasserstraßen, Häfen und maritimen Einrichtungen</t>
  </si>
  <si>
    <t xml:space="preserve">Flussgebietseigenschaften · Anthropogene Beeinflussung von Binnenwasserstraßen (z.B. Stauung, Einleitungen)</t>
  </si>
  <si>
    <t xml:space="preserve">Vorkommen von Verkehrsteilnehmern · Vorkommen von Verkehrsmitteln · Vorkommen von Verkehrsinfrastrukturen</t>
  </si>
  <si>
    <t xml:space="preserve">Hochwasser · Oberflächengewässer: Eisbedeckung · Schäden an Binnenwasserstraßen, Häfen und maritimen Einrichtungen</t>
  </si>
  <si>
    <t xml:space="preserve">Meer: Eisbedeckung · Seegang · Sturmfluten · Schäden an Binnenwasserstraßen, Häfen und maritimen Einrichtungen</t>
  </si>
  <si>
    <t xml:space="preserve">Starkregen · Starkwind · Hitze · Kälte / Frost · Wechselfrost</t>
  </si>
  <si>
    <t xml:space="preserve">Hochwasser · Sturzfluten · Meeresspiegelhöhe · Sturmfluten · Grundwasserstand · Schäden an Gebäuden und Infrastrukturen</t>
  </si>
  <si>
    <t xml:space="preserve">Bauliche und organisatorische Vorsorge an Infrastrukturen · Zustand von Infrastrukturen · Verwendete Baumaterialien / Gestaltung · Begrünung von Infrastrukturen</t>
  </si>
  <si>
    <t xml:space="preserve">Schäden an Straßen, Schieneninfrastruktur, Startbahnen; Hindernisse auf Straßen und Schienenwegen</t>
  </si>
  <si>
    <t xml:space="preserve">Gravitative Massenbewegungen · Schäden durch Windwurf · Schäden an Gebäuden und Infrastrukturen</t>
  </si>
  <si>
    <t xml:space="preserve">Hagel · Blitz · Kälte / Frost · Schnee- und Eisdruck · Starkregen · Starkwind</t>
  </si>
  <si>
    <t xml:space="preserve">Meeresspiegelhöhe · Sturmfluten · Hochwasser · Sturzfluten · Gravitative Massenbewegungen</t>
  </si>
  <si>
    <t xml:space="preserve">Schäden an Verkehrsleitsystemen und Stromversorgungsanlagen</t>
  </si>
  <si>
    <t xml:space="preserve">Hagel · Starkregen · Starkwind · Hitze · Kälte / Frost</t>
  </si>
  <si>
    <t xml:space="preserve">Meeresspiegelhöhe · Sturmfluten · Hochwasser</t>
  </si>
  <si>
    <t xml:space="preserve">Schäden an Binnenwasserstraßen, Häfen und maritimen Einrichtungen</t>
  </si>
  <si>
    <t xml:space="preserve">Ertrag und Qualität der Ernteprodukte · Leistung von Viehhaltung, Milchwirtschaft · Güter und Dienstleistungen des Waldes · Fangbedingungen und Fangmengen · Schäden an gewerblicher und industrieller Infrastruktur · Beeinträchtigung des landgestützten Warenverkehrs · Beeinträchtigung des Warenverkehrs über Wasserstraßen</t>
  </si>
  <si>
    <t xml:space="preserve">Bauliche, organisatorische und finanzielle Vorsorge der Unternehmen · Größe des Unternehmens / Anzahl und Größe der Standorte · Abhängigkeit von (einzelnen) Zulieferern · Länge der Wertschöpfungsketten</t>
  </si>
  <si>
    <t xml:space="preserve">Vorkommen von Unternehmen und Betriebsstätten · Vorkommen von betrieblichen Infrastrukturen</t>
  </si>
  <si>
    <t xml:space="preserve">Fehlende Rohstoffversorgung; Beeinträchtigung der Leistung von Zulieferern</t>
  </si>
  <si>
    <t xml:space="preserve">Beeinträchtigung von Produktions- und Logistikprozessen · Umweltwirkungen von Unternehmen</t>
  </si>
  <si>
    <t xml:space="preserve">Bauliche, organisatorische und finanzielle Vorsorge der Unternehmen · Größe des Unternehmens / Anzahl und Größe der Standorte · Abhängigkeit von (einzelnen) Kunden</t>
  </si>
  <si>
    <t xml:space="preserve">Bedingungen auf Absatzmärkten</t>
  </si>
  <si>
    <t xml:space="preserve">Umweltwirkungen von Unternehmen</t>
  </si>
  <si>
    <t xml:space="preserve">Bauliche, organisatorische und finanzielle Vorsorge der Unternehmen · Größe des Unternehmens / Anzahl und Größe der Standorte · Klimafreundlichkeit der Produkte</t>
  </si>
  <si>
    <t xml:space="preserve">Behinderungen / Verzögerungen · Unterbrechungen / Streckensperrungen</t>
  </si>
  <si>
    <t xml:space="preserve">Bauliche, organisatorische und finanzielle Vorsorge der Unternehmen · Größe des Unternehmens / Anzahl und Größe der Standorte · Abhängigkeit von Just-in-Time-Logistik</t>
  </si>
  <si>
    <t xml:space="preserve">Beeinträchtigung des landgestützten Warenverkehrs (international)</t>
  </si>
  <si>
    <t xml:space="preserve">Beeinträchtigung des Warenverkehrs über Wasserstraßen</t>
  </si>
  <si>
    <t xml:space="preserve">Beeinträchtigung des landgestützten Warenverkehrs</t>
  </si>
  <si>
    <t xml:space="preserve">Fehlende Zuverlässigkeit der Energieversorgung · Schäden an gewerblicher und industrieller Infrastruktur</t>
  </si>
  <si>
    <t xml:space="preserve">Bauliche, organisatorische und finanzielle Vorsorge der Unternehmen · Größe des Unternehmens / Anzahl und Größe der Standorte · Wasser-, Energie- und Rohstoffintensität der Produktion</t>
  </si>
  <si>
    <t xml:space="preserve">Energieverbrauch; Fehlende Energieversorgung</t>
  </si>
  <si>
    <t xml:space="preserve">Durchschnittstemperatur · Hitze · Durchschnittlicher Niederschlag · Trockenheit · Luftfeuchtigkeit</t>
  </si>
  <si>
    <t xml:space="preserve">Wassernutzung · Schäden an gewerblicher und industrieller Infrastruktur</t>
  </si>
  <si>
    <t xml:space="preserve">Wasserverbrauch; Fehlende Wasserversorgung</t>
  </si>
  <si>
    <t xml:space="preserve">Schäden an gewerblicher und industrieller Infrastruktur</t>
  </si>
  <si>
    <t xml:space="preserve">Bauliche, organisatorische und finanzielle Vorsorge der Unternehmen</t>
  </si>
  <si>
    <t xml:space="preserve">Hitzebelastung · Hoher Krankenstand / Belastung der Rettungsdienste, Krankenhäuser und Ärzte</t>
  </si>
  <si>
    <t xml:space="preserve">Bauliche, organisatorische und finanzielle Vorsorge der Unternehmen · Arbeitsbedingungen der Beschäftigten (z.B. Anzahl der Außeneinsätze)</t>
  </si>
  <si>
    <t xml:space="preserve">Hitze · Luftfeuchtigkeit</t>
  </si>
  <si>
    <t xml:space="preserve">Leistungseinbußen von Maschinen · Beeinträchtigung des landgestützten Warenverkehrs · Beeinträchtigung des Warenverkehrs über Wasserstraßen · Arbeitskräfte und Beschäftigte · Schäden an gewerblicher und industrieller Infrastruktur · Rohstoff-, Wasser- und Energieversorgung · Beeinträchtigung der Leistung von Zulieferern</t>
  </si>
  <si>
    <t xml:space="preserve">Bauliche, organisatorische und finanzielle Vorsorge der Unternehmen · Größe des Unternehmens / Anzahl und Größe der Standorte</t>
  </si>
  <si>
    <t xml:space="preserve">Beeinträchtigung von Produktions- und Logistikprozessen</t>
  </si>
  <si>
    <t xml:space="preserve">Durchschnittstemperatur · Hitze · Kälte / Frost · Länge der Sommersaison · Länge der Wintersaison · Durchschnittlicher Niederschlag · Schneeschmelze · Schneesicherheit · Starkregen · Starkwind · Sonnenscheindauer</t>
  </si>
  <si>
    <t xml:space="preserve">Schäden an touristischen Infrastrukturen · Finanzielle Unsicherheiten bei Tourismusanbietern · Wirtschaftliche Erfolgsaussichten für Tourismusanbieter</t>
  </si>
  <si>
    <t xml:space="preserve">Bauliche, organisatorische und finanzielle Vorsorge der Tourismusanbieter · Zustand und Ausstattung von touristischen Infrastrukturen</t>
  </si>
  <si>
    <t xml:space="preserve">Vorkommen von lokalen Tourismusanbietern · Vorkommen von touristischen Infrastrukturen</t>
  </si>
  <si>
    <t xml:space="preserve">Wegfall / Hinzukommen von touristischen Angeboten</t>
  </si>
  <si>
    <t xml:space="preserve">Hagel · Hitze · Kälte / Frost · Schnee- und Eisdruck · Starkregen · Starkwind · Jahreszeiten · Schneesicherheit · Sonnenscheindauer</t>
  </si>
  <si>
    <t xml:space="preserve">Wasserstand der Meere · Hochwasser · Sturzfluten · Niedrigwasser · Gravitative Massenbewegungen · Grundwasserstand · Badewasser · Meer: Biologische Wasserqualität (Eutrophierung, Blaualgen)</t>
  </si>
  <si>
    <t xml:space="preserve">Zustand und Ausstattung von touristischen Infrastrukturen · Bauliche, organisatorische und finanzielle Vorsorge der Tourismusanbieter</t>
  </si>
  <si>
    <t xml:space="preserve">Schäden an touristischen Infrastrukturen; Betriebsunterbrechungen</t>
  </si>
  <si>
    <t xml:space="preserve">Touristische Nachfrage</t>
  </si>
  <si>
    <t xml:space="preserve">Möglichkeiten der Zielgruppe, räumliche Distanzen zu überwinden · Möglichkeiten der Zielgruppe, Reisezeiten frei zu wählen · Möglichkeiten der Zielgruppe, Urlaubsaktivitäten frei zu wählen</t>
  </si>
  <si>
    <t xml:space="preserve">Räumliche Verlagerung der Nachfrage auf regionaler Ebene; Räumliche Verlagerung der Nachfrage auf internationaler Ebene</t>
  </si>
  <si>
    <t xml:space="preserve">Touristische Nachfrage · Kosten für Tourismusanbieter</t>
  </si>
  <si>
    <t xml:space="preserve">Grad der Spezialisierung von Tourismusanbietern · Standortgebundenheit · Wetterabhängigkeit</t>
  </si>
  <si>
    <t xml:space="preserve">Finanzielle Unsicherheiten bei Tourismusanbietern; Wirtschaftliche Erfolgsaussichten für Tourismusanbieter</t>
  </si>
  <si>
    <t xml:space="preserve">Individueller Gesundheitszustand · Individuelles Gefahrenbewusstsein · Monitoring von Gesundheitsgefahren und Frühwarnsysteme · Verfügbarkeit von gekühlten Aufenthaltsräumen</t>
  </si>
  <si>
    <t xml:space="preserve">Vorkommen von Bevölkerung · Vorkommen von Gesundheitsinfrastruktur</t>
  </si>
  <si>
    <t xml:space="preserve">Vegetation · Ausbreitung von Pflanzenarten mit allergenem Potenzial · Pollenflug</t>
  </si>
  <si>
    <t xml:space="preserve">Individueller Gesundheitszustand · Individuelles Gefahrenbewusstsein · Monitoring von Gesundheitsgefahren und Frühwarnsysteme</t>
  </si>
  <si>
    <t xml:space="preserve">Allergische Reaktionen durch Aeroallergene pflanzlicher Herkunft (z.B. Pollen)</t>
  </si>
  <si>
    <t xml:space="preserve">Badewasser · Meere: Biologische Wasserqualität (Eutrophierung, Blaualgen) · Oberflächengewässer: Biologische Wasserqualität (Eutrophierung, Blaualgen)</t>
  </si>
  <si>
    <t xml:space="preserve">Potentiell schädliche Mikroorganismen und Algen, inkl. Blaualgen</t>
  </si>
  <si>
    <t xml:space="preserve">UV-Strahlung</t>
  </si>
  <si>
    <t xml:space="preserve">Individuelles Gefahrenbewusstsein · Freizeitverhalten</t>
  </si>
  <si>
    <t xml:space="preserve">UV-bedingte Schädigungen (insb. Hautkrebs)</t>
  </si>
  <si>
    <t xml:space="preserve">Ausbreitung von Tierarten mit Vektorpotenzial (z.B. Mücken, Zecken)</t>
  </si>
  <si>
    <t xml:space="preserve">Monitoring von Gesundheitsgefahren und Frühwarnsysteme</t>
  </si>
  <si>
    <t xml:space="preserve">Bodennahes Ozon · Luftqualität (Smog)</t>
  </si>
  <si>
    <t xml:space="preserve">Atembeschwerden (bodennahes Ozon, Smog, etc.)</t>
  </si>
  <si>
    <t xml:space="preserve">Starkwind · Hagel</t>
  </si>
  <si>
    <t xml:space="preserve">Gravitative Massenbewegungen · Sturmfluten · Abfluss und Wasserstand von Oberflächengewässern · Unfallgefahr</t>
  </si>
  <si>
    <t xml:space="preserve">Ausstattung der Rettungs- und Krankendienste · Individuelles Gefahrenbewusstsein</t>
  </si>
  <si>
    <t xml:space="preserve">Hitze- und kälteabhängige Erkrankungen oder Mortalitäten · Vektorübertragene Krankheiten · Gesundheitliche Auswirkungen von UV-Strahlung · Gesundheitliche Auswirkungen von aerogenen Stoffen · Gesundheitliche Auswirkungen verminderter Bade- und Trinkwasserqualität und Lebensmittelsicherheit · Unfallfolgen</t>
  </si>
  <si>
    <t xml:space="preserve">Ausstattung der Rettungs- und Krankendienste · Innovationen im medizinischen Bereich (Impfstoffe, Behandlungsmöglichkeiten) · Typ und Zustand der Gesundheitsinfrastruktur</t>
  </si>
  <si>
    <t xml:space="preserve">Hoher Krankenstand / Belastung der Rettungsdienste, Krankenhäuser und Ärzte</t>
  </si>
  <si>
    <t xml:space="preserve">Welcher Faktor betrifft wie viele der 102 Klimawirkungen?</t>
  </si>
  <si>
    <t xml:space="preserve">Abgeleitet aus dem Blatt „Wirkungsmechanismen“ (Quelle: UBA 2016, Klimawirkungsketten).</t>
  </si>
  <si>
    <t xml:space="preserve">Anzahl</t>
  </si>
  <si>
    <t xml:space="preserve">Topographie und Landnutzung</t>
  </si>
  <si>
    <t xml:space="preserve">Bodenwasserhaushalt</t>
  </si>
  <si>
    <t xml:space="preserve">Abfluss und Wasserstand von Oberflächengewässern</t>
  </si>
  <si>
    <t xml:space="preserve">Größe des Unternehmens / Anzahl und Größe der Standorte</t>
  </si>
  <si>
    <t xml:space="preserve">Kälte / Frost</t>
  </si>
  <si>
    <t xml:space="preserve">Beeinträchtigung der Vitalität von Tieren</t>
  </si>
  <si>
    <t xml:space="preserve">Individuelles Gefahrenbewusstsein</t>
  </si>
  <si>
    <t xml:space="preserve">Sonnenscheindauer</t>
  </si>
  <si>
    <t xml:space="preserve">Nässe</t>
  </si>
  <si>
    <t xml:space="preserve">Gravitative Massenbewegungen</t>
  </si>
  <si>
    <t xml:space="preserve">Gewässerzustand von Oberflächengewässern</t>
  </si>
  <si>
    <t xml:space="preserve">Bauliche und organisatorische Vorsorge an Infrastrukturen</t>
  </si>
  <si>
    <t xml:space="preserve">Hagel</t>
  </si>
  <si>
    <t xml:space="preserve">Zustand von Infrastrukturen</t>
  </si>
  <si>
    <t xml:space="preserve">Luftfeuchtigkeit</t>
  </si>
  <si>
    <t xml:space="preserve">Verwendete Baumaterialien / Gestaltung</t>
  </si>
  <si>
    <t xml:space="preserve">Areale, Arten und Populationen</t>
  </si>
  <si>
    <t xml:space="preserve">Begrünung von Infrastrukturen</t>
  </si>
  <si>
    <t xml:space="preserve">Durchschnittliche Windgeschwindigkeit</t>
  </si>
  <si>
    <t xml:space="preserve">Individueller Gesundheitszustand</t>
  </si>
  <si>
    <t xml:space="preserve">Schneeschmelze</t>
  </si>
  <si>
    <t xml:space="preserve">Gewässerzustand der Meere</t>
  </si>
  <si>
    <t xml:space="preserve">Bodenart und Bodentyp</t>
  </si>
  <si>
    <t xml:space="preserve">Schnee- und Eisdruck</t>
  </si>
  <si>
    <t xml:space="preserve">Bewässerung</t>
  </si>
  <si>
    <t xml:space="preserve">Bodenwärmehaushalt</t>
  </si>
  <si>
    <t xml:space="preserve">Züchterischer Fortschritt</t>
  </si>
  <si>
    <t xml:space="preserve">Schneesicherheit</t>
  </si>
  <si>
    <t xml:space="preserve">Erosion</t>
  </si>
  <si>
    <t xml:space="preserve">Baumart</t>
  </si>
  <si>
    <t xml:space="preserve">Früh- und Spätfröste</t>
  </si>
  <si>
    <t xml:space="preserve">Grundwasser</t>
  </si>
  <si>
    <t xml:space="preserve">Baumalter / Altersstruktur</t>
  </si>
  <si>
    <t xml:space="preserve">Wechselfrost</t>
  </si>
  <si>
    <t xml:space="preserve">Fischbestand</t>
  </si>
  <si>
    <t xml:space="preserve">Jahreszeiten</t>
  </si>
  <si>
    <t xml:space="preserve">Versalzung des Bodens, des Grundwassers und von Flussmündungen</t>
  </si>
  <si>
    <t xml:space="preserve">Eigenschaften von Oberflächengewässern</t>
  </si>
  <si>
    <t xml:space="preserve">Länge der Sommersaison</t>
  </si>
  <si>
    <t xml:space="preserve">Forstphänologische Phasen und Wachstumsperiode</t>
  </si>
  <si>
    <t xml:space="preserve">Meerwasserqualität und Küsteneigenschaften</t>
  </si>
  <si>
    <t xml:space="preserve">Länge der Wintersaison</t>
  </si>
  <si>
    <t xml:space="preserve">Fischgesundheit</t>
  </si>
  <si>
    <t xml:space="preserve">Gewässereigenschaften</t>
  </si>
  <si>
    <t xml:space="preserve">Intensiver Schneefall</t>
  </si>
  <si>
    <t xml:space="preserve">Phänologie und Verhalten</t>
  </si>
  <si>
    <t xml:space="preserve">Verwendete Baumaterialien auf Gebäudeebene</t>
  </si>
  <si>
    <t xml:space="preserve">Blitz</t>
  </si>
  <si>
    <t xml:space="preserve">Reproduktion, Wachstum und Sterblichkeit kommerziell genutzter Arten</t>
  </si>
  <si>
    <t xml:space="preserve">Energienachfrage allgemein</t>
  </si>
  <si>
    <t xml:space="preserve">Wasserstand der Meere</t>
  </si>
  <si>
    <t xml:space="preserve">Flussgebietseigenschaften</t>
  </si>
  <si>
    <t xml:space="preserve">Wirkbeziehungen zwischen den Klimawirkungen</t>
  </si>
  <si>
    <t xml:space="preserve">Die KWRA nennt 257 Querverbindungen, veröffentlicht die Einzelkanten aber in keinem der sechs Teilberichte als Liste. Abbildung 8 in Teilbericht 6 ist ein Chord-Diagramm auf Handlungsfeldebene, aus dem sich keine exakten Kantenzahlen ablesen lassen. Dieses Blatt enthält deshalb nur, was belegt ist.</t>
  </si>
  <si>
    <t xml:space="preserve">1. Kennzahlen (Teilbericht 6, Kapitel 3.4)</t>
  </si>
  <si>
    <t xml:space="preserve">Querverbindungen insgesamt</t>
  </si>
  <si>
    <t xml:space="preserve">257</t>
  </si>
  <si>
    <t xml:space="preserve">Durchschnitt je Klimawirkung</t>
  </si>
  <si>
    <t xml:space="preserve">rund 2,5 ein- oder ausgehende Beziehungen</t>
  </si>
  <si>
    <t xml:space="preserve">Klimawirkungen mit ausgehenden Beziehungen</t>
  </si>
  <si>
    <t xml:space="preserve">71 von 102</t>
  </si>
  <si>
    <t xml:space="preserve">Klimawirkungen mit eingehenden Beziehungen</t>
  </si>
  <si>
    <t xml:space="preserve">62 von 102</t>
  </si>
  <si>
    <t xml:space="preserve">Handlungsfeld mit den meisten ausgehenden Beziehungen</t>
  </si>
  <si>
    <t xml:space="preserve">Handlungsfeld mit den meisten eingehenden Beziehungen</t>
  </si>
  <si>
    <t xml:space="preserve">Nur ausgehende Beziehungen</t>
  </si>
  <si>
    <t xml:space="preserve">Nur eingehende Beziehungen</t>
  </si>
  <si>
    <t xml:space="preserve">2. Querverbindungen zwischen den Systembereichen (Teilbericht 6, Tabelle 28)</t>
  </si>
  <si>
    <t xml:space="preserve">Rein vorgelagerte Klimawirkungen sind in dieser Matrix nicht enthalten. Die Diagonale zählt Wirkbeziehungen innerhalb desselben Systembereichs; die Summenspalte nur die Beziehungen zu den vier anderen Systembereichen.</t>
  </si>
  <si>
    <t xml:space="preserve">von ↓   /   zu →</t>
  </si>
  <si>
    <t xml:space="preserve">Summe ausgehend</t>
  </si>
  <si>
    <t xml:space="preserve">3. Im Fließtext ausdrücklich benannte Einzelbeziehungen (Auszug, nicht vollständig)</t>
  </si>
  <si>
    <t xml:space="preserve">Quelle (wirkt auf)</t>
  </si>
  <si>
    <t xml:space="preserve">Ziel (wird beeinflusst)</t>
  </si>
  <si>
    <t xml:space="preserve">Ebene</t>
  </si>
  <si>
    <t xml:space="preserve">Beleg</t>
  </si>
  <si>
    <t xml:space="preserve">zahlreiche Klimawirkungen in mehreren Handlungsfeldern</t>
  </si>
  <si>
    <t xml:space="preserve">TB6 Kap. 3.4: zentrale Klimawirkung, wirkt sich auf die meisten anderen aus</t>
  </si>
  <si>
    <t xml:space="preserve">TB6 Kap. 3.4: fördert deren Entwicklung</t>
  </si>
  <si>
    <t xml:space="preserve">TB6 Kap. 3.4: zunehmender urbaner Wärmeinseleffekt erhöht die Hitzebelastung</t>
  </si>
  <si>
    <t xml:space="preserve">TB6 Kap. 3.4: verlängerte Vegetationsperiode verstärkt Pollenreaktionen</t>
  </si>
  <si>
    <t xml:space="preserve">TB6 Kap. 3.4</t>
  </si>
  <si>
    <t xml:space="preserve">TB6 Kap. 3.4: niedrigwasserbedingte Einschränkungen im Warentransport</t>
  </si>
  <si>
    <t xml:space="preserve">TB6 Kap. 3.4: Beeinträchtigung der Verkehrswege</t>
  </si>
  <si>
    <t xml:space="preserve">Boden (Handlungsfeld)</t>
  </si>
  <si>
    <t xml:space="preserve">gemischt</t>
  </si>
  <si>
    <t xml:space="preserve">TB6 Kap. 3.4: viele Klimawirkungen des Bodens wirken hierauf ein</t>
  </si>
  <si>
    <t xml:space="preserve">Boden und Biologische Vielfalt (Handlungsfelder)</t>
  </si>
  <si>
    <t xml:space="preserve">TB6 Kap. 3.4: landwirtschaftliche Ertragsausfälle werden von vielen Klimawirkungen dieser Handlungsfelder beeinflusst</t>
  </si>
  <si>
    <t xml:space="preserve">TB6 Kap. 3.4: weitere Auswirkungen auf Holzerträge in der Forstwirtschaft</t>
  </si>
  <si>
    <t xml:space="preserve">Küsten- und Meeresschutz (Handlungsfeld)</t>
  </si>
  <si>
    <t xml:space="preserve">Wasserhaushalt, Wasserwirtschaft (Handlungsfeld)</t>
  </si>
  <si>
    <t xml:space="preserve">Industrie und Gewerbe (Handlungsfeld)</t>
  </si>
  <si>
    <t xml:space="preserve">TB6 Kap. 3.4: Einschränkungen der Wasserversorgung treffen die Produktion</t>
  </si>
  <si>
    <t xml:space="preserve">Energiewirtschaft (Handlungsfeld)</t>
  </si>
  <si>
    <t xml:space="preserve">TB6 Kap. 3.4: Einschränkungen der Energieversorgung treffen die Produktion</t>
  </si>
  <si>
    <t xml:space="preserve">Tourismuswirtschaft (Handlungsfeld)</t>
  </si>
  <si>
    <t xml:space="preserve">TB6 Kap. 3.4: viele eingehende Wirkungen beim Tourismus</t>
  </si>
  <si>
    <t xml:space="preserve">Biologische Vielfalt (Handlungsfeld)</t>
  </si>
  <si>
    <t xml:space="preserve">Für das Produkt: Die Spalte „Netzrolle“ im Blatt „Klimawirkungen“ markiert die 25 Klimawirkungen, die Teilbericht 6 ausdrücklich als starke Sender oder Empfänger benennt. Eine vollständige Kantenliste müsste eigenständig modelliert und als solche gekennzeichnet werden – sie ist keine KWRA-Angabe.</t>
  </si>
  <si>
    <t xml:space="preserve">KWRA 2021 – 102 Klimawirkungen: Lesehinweise</t>
  </si>
  <si>
    <t xml:space="preserve">Vollständig aufbereitet aus allen sechs Teilberichten der Klimawirkungs- und Risikoanalyse 2021 (Umweltbundesamt).</t>
  </si>
  <si>
    <t xml:space="preserve">Belegstatus</t>
  </si>
  <si>
    <t xml:space="preserve">Vollständig</t>
  </si>
  <si>
    <t xml:space="preserve">Alle Spalten sind aus den Teilberichten belegt. Es gibt keine geschätzten oder abgeleiteten Werte mehr.</t>
  </si>
  <si>
    <t xml:space="preserve">Leere Zellen sind korrekt</t>
  </si>
  <si>
    <t xml:space="preserve">Die Anpassungsspalten (Wirksamkeit, Restrisiko) sind nur für die 33 Klimawirkungen befüllt, für die die KWRA die Anpassungskapazität analysiert hat. Für die übrigen 69 existieren diese Bewertungen nicht. Spezifizierung und Indikatoren gibt es nur für intensiv bearbeitete Klimawirkungen.</t>
  </si>
  <si>
    <t xml:space="preserve">Kontrollsummen – alle stimmen mit der KWRA überein</t>
  </si>
  <si>
    <t xml:space="preserve">102 Klimawirkungen</t>
  </si>
  <si>
    <t xml:space="preserve">32 Land + 26 Wasser + 19 Infrastruktur + 17 Wirtschaft + 8 Gesundheit</t>
  </si>
  <si>
    <t xml:space="preserve">13 Handlungsfelder</t>
  </si>
  <si>
    <t xml:space="preserve">eigenes Blatt mit den Bewertungen auf Handlungsfeldebene</t>
  </si>
  <si>
    <t xml:space="preserve">31 sehr dringend</t>
  </si>
  <si>
    <t xml:space="preserve">Teilbericht 6, Tabelle 25</t>
  </si>
  <si>
    <t xml:space="preserve">23 dringend</t>
  </si>
  <si>
    <t xml:space="preserve">Teilbericht 6, Tabelle 26</t>
  </si>
  <si>
    <t xml:space="preserve">33 mit Anpassungskapazität</t>
  </si>
  <si>
    <t xml:space="preserve">Teilbericht 6, Tabelle 22</t>
  </si>
  <si>
    <t xml:space="preserve">37 intensiv bearbeitet</t>
  </si>
  <si>
    <t xml:space="preserve">Teilberichte 2–5, Übersichtstabellen je Handlungsfeld — entspricht 35 namentlich benannten Klimawirkungen, weil „Schäden an Gebäuden“ und „Einschränkungen touristischer Angebote“ hier in je zwei Spezifizierungszeilen stehen</t>
  </si>
  <si>
    <t xml:space="preserve">9 rein vorgelagert</t>
  </si>
  <si>
    <t xml:space="preserve">in Teilbericht 6, Tabelle 1 mit „*“ gekennzeichnet</t>
  </si>
  <si>
    <t xml:space="preserve">2 Chancen</t>
  </si>
  <si>
    <t xml:space="preserve">Bedarf an Heizenergie; Wettbewerbsvorteil in innovativen Umwelttechnologien</t>
  </si>
  <si>
    <t xml:space="preserve">Die vier Blöcke im Blatt „Klimawirkungen“</t>
  </si>
  <si>
    <t xml:space="preserve">Stamm (A–D)</t>
  </si>
  <si>
    <t xml:space="preserve">Cluster, Handlungsfeld, Klimawirkung. Die ID ist der stabile Schlüssel.</t>
  </si>
  <si>
    <t xml:space="preserve">A. Fachliche Zerlegung (E–M)</t>
  </si>
  <si>
    <t xml:space="preserve">Bearbeitungstiefe, Spezifizierung, integrierte Klimawirkungen, Faktoren, Indikatoren, Typ, Vorgelagert-Kennzeichen, Systembereich.</t>
  </si>
  <si>
    <t xml:space="preserve">B. Risiko ohne Anpassung (N–U)</t>
  </si>
  <si>
    <t xml:space="preserve">Dreistufig (gering/mittel/hoch) für fünf Kombinationen aus Zeitscheibe und Fall, dazu Gewissheit und Anpassungsdauer.</t>
  </si>
  <si>
    <t xml:space="preserve">C. Anpassung (V–AJ)</t>
  </si>
  <si>
    <t xml:space="preserve">Wirksamkeit der Maßnahmen, verbleibendes Restrisiko, Handlungserfordernis und Grenzen der Anpassung. Fünfstufige Skala.</t>
  </si>
  <si>
    <t xml:space="preserve">Wirksamkeit ist nicht Restrisiko</t>
  </si>
  <si>
    <t xml:space="preserve">Wirksamkeit</t>
  </si>
  <si>
    <t xml:space="preserve">Wie stark die Maßnahmen das Risiko senken können. Quelle: Teilbericht 6, Tabelle 22.</t>
  </si>
  <si>
    <t xml:space="preserve">Restrisiko</t>
  </si>
  <si>
    <t xml:space="preserve">Welches Risiko nach der Anpassung verbleibt. Quelle: Teilberichte 2–5, Tabellen „Klimarisiken mit Anpassung im Handlungsfeld …“. Das ist die Größe, die für Anpassungsentscheidungen zählt.</t>
  </si>
  <si>
    <t xml:space="preserve">APA III</t>
  </si>
  <si>
    <t xml:space="preserve">Aktionsplan Anpassung III – die bereits beschlossenen Maßnahmen des Bundes. „Weiterreichend“ meint darüber hinausgehende Maßnahmen.</t>
  </si>
  <si>
    <t xml:space="preserve">Worauf beim Einbauen zu achten ist</t>
  </si>
  <si>
    <t xml:space="preserve">Namensgleichheit</t>
  </si>
  <si>
    <t xml:space="preserve">„Stress durch Schädlinge / Krankheiten“ existiert wortgleich in Wald- und Forstwirtschaft (ID 28) und in Fischerei (ID 36) – mit unterschiedlicher Bearbeitungstiefe, unterschiedlichen Bewertungen und unterschiedlichem Handlungserfordernis. Immer über die ID verknüpfen, nie über den Namen.</t>
  </si>
  <si>
    <t xml:space="preserve">Rein vorgelagerte Klimawirkungen</t>
  </si>
  <si>
    <t xml:space="preserve">Neun physische Veränderungen ohne Anpassungsoption, etwa der Meeresspiegelanstieg. Sie wurden nur ohne Anpassung bewertet und sollten nicht wie handlungsleitende Risiken dargestellt werden.</t>
  </si>
  <si>
    <t xml:space="preserve">Vier Klimawirkungen haben ein mittleres bis hohes Risiko, aber keine Anpassungsoption: Bodenbiologie, Bodenfunktionen, Veränderung der Vegetationsperiode und Schäden an Gebirgsökosystemen. Sie sind keiner Dringlichkeitsstufe zugeordnet.</t>
  </si>
  <si>
    <t xml:space="preserve">Abweichende Namen in den Teilberichten</t>
  </si>
  <si>
    <t xml:space="preserve">Einzelne Klimawirkungen heißen in den Teilberichten 2–5 leicht anders als in Teilbericht 6 (zum Beispiel „Schäden in Wäldern“ statt „Schäden an Wäldern“, „Nutzfunktion (Holzertrag)“ statt „Nutzfunktion: Holzertrag“). Diese Tabelle folgt durchgängig der Schreibweise aus Teilbericht 6, Tabelle 1.</t>
  </si>
  <si>
    <t xml:space="preserve">Unstimmigkeit im Bericht</t>
  </si>
  <si>
    <t xml:space="preserve">Teilbericht 6 nennt in Kapitel 6.1 auch „Biologische Vielfalt“ als Handlungsfeld mit rein vorgelagerten Klimawirkungen. In Tabelle 1 ist dort jedoch keine mit „*“ markiert. Diese Tabelle folgt der Markierung in Tabelle 1.</t>
  </si>
  <si>
    <t xml:space="preserve">Querschnittsfelder – bewusst nicht enthalten</t>
  </si>
  <si>
    <t xml:space="preserve">Raumordnung, Bevölkerungsschutz, Finanzwirtschaft</t>
  </si>
  <si>
    <t xml:space="preserve">Keine Handlungsfelder und ohne eigene Klimawirkungen. Sie liefern Anpassungskapazität in die 13 Handlungsfelder hinein.</t>
  </si>
  <si>
    <t xml:space="preserve">Was noch fehlt</t>
  </si>
  <si>
    <t xml:space="preserve">257 Wirkbeziehungen</t>
  </si>
  <si>
    <t xml:space="preserve">Die KWRA nennt 257 Querverbindungen, veröffentlicht die Einzelkanten aber in keinem Teilbericht als Liste. Das Blatt „Wirkbeziehungen“ enthält alles, was belegt ist: die Kennzahlen, die exakte Matrix der fünf Systembereiche und die im Fließtext benannten Einzelbeziehungen. Eine vollständige Kantenliste müsste eigenständig modelliert werden.</t>
  </si>
  <si>
    <t xml:space="preserve">Räumliche Ebene</t>
  </si>
  <si>
    <t xml:space="preserve">Bewertungen je Klimaraumtyp (7 Typen) und die Hotspot-Karten.</t>
  </si>
  <si>
    <t xml:space="preserve">Anpassungsdimensionen</t>
  </si>
  <si>
    <t xml:space="preserve">Teilberichte 2–5 enthalten je Klimawirkung die Beiträge in den sechs Anpassungsdimensionen auf einer Skala von 1 bis 5.</t>
  </si>
  <si>
    <t xml:space="preserve">Quellen</t>
  </si>
  <si>
    <t xml:space="preserve">Teilbericht 2: Cluster Land (Climate Change 21/2021)</t>
  </si>
  <si>
    <t xml:space="preserve">Teilbericht 3: Cluster Wasser (Climate Change 22/2021)</t>
  </si>
  <si>
    <t xml:space="preserve">Teilbericht 4: Cluster Infrastruktur (Climate Change 23/2021)</t>
  </si>
  <si>
    <t xml:space="preserve">Teilbericht 5: Cluster Wirtschaft und Gesundheit (Climate Change 24/2021)</t>
  </si>
  <si>
    <t xml:space="preserve">Teilbericht 6: Integrierte Auswertung (Climate Change 25/2021)</t>
  </si>
  <si>
    <t xml:space="preserve">Anhang: Daten und Indikatoren-Kennblätter (Climate Change 20/2021)</t>
  </si>
  <si>
    <t xml:space="preserve">https://www.umweltbundesamt.de/publikationen/KWRA-Zusammenfassung</t>
  </si>
  <si>
    <t xml:space="preserve">Zulässige Werte (KWRA-Skalen)</t>
  </si>
  <si>
    <t xml:space="preserve">Klimarisiko ohne Anpassung (Klimawirkungsebene)</t>
  </si>
  <si>
    <t xml:space="preserve">Wirksamkeit, Restrisiko, Handlungsfeldebene (5-stufig)</t>
  </si>
  <si>
    <t xml:space="preserve">Gewissheit</t>
  </si>
  <si>
    <t xml:space="preserve">Anpassungsdauer</t>
  </si>
  <si>
    <t xml:space="preserve">intensiv (37 Zeilen / 35 benannte Klimawirkungen, mit Indikatoren und quantitativen Daten)</t>
  </si>
  <si>
    <t xml:space="preserve">extensiv (65 Zeilen, qualitativ)</t>
  </si>
  <si>
    <t xml:space="preserve">sehr dringend (31)</t>
  </si>
  <si>
    <t xml:space="preserve">dringend (23)</t>
  </si>
  <si>
    <t xml:space="preserve">nicht als (sehr) dringend ausgewiesen (44)</t>
  </si>
  <si>
    <t xml:space="preserve">nicht zuordenbar, keine Anpassungsoption (4)</t>
  </si>
  <si>
    <t xml:space="preserve">Systembereiche (5)</t>
  </si>
  <si>
    <t xml:space="preserve">Natürliche Systeme und Ressourcen (N)</t>
  </si>
  <si>
    <t xml:space="preserve">Naturnutzende Wirtschaftssysteme (Nn)</t>
  </si>
  <si>
    <t xml:space="preserve">Infrastrukturen und Gebäude (I&amp;G)</t>
  </si>
  <si>
    <t xml:space="preserve">Naturferne Wirtschaftssysteme (Nf)</t>
  </si>
  <si>
    <t xml:space="preserve">Menschen und soziale Systeme (M)</t>
  </si>
  <si>
    <t xml:space="preserve">Schutzgüter (4)</t>
  </si>
  <si>
    <t xml:space="preserve">Mensch</t>
  </si>
  <si>
    <t xml:space="preserve">Volkswirtschaft</t>
  </si>
  <si>
    <t xml:space="preserve">Umwelt</t>
  </si>
  <si>
    <t xml:space="preserve">kulturelles Erbe</t>
  </si>
  <si>
    <t xml:space="preserve">Klimatische Einflüsse (6 dominante)</t>
  </si>
  <si>
    <t xml:space="preserve">durchschnittlicher Temperaturanstieg</t>
  </si>
  <si>
    <t xml:space="preserve">durchschnittliche Niederschlagsabnahme</t>
  </si>
  <si>
    <t xml:space="preserve">Anpassungsdimensionen (6, Skala 1–5)</t>
  </si>
  <si>
    <t xml:space="preserve">Wissen</t>
  </si>
  <si>
    <t xml:space="preserve">Motivation und Akzeptanz</t>
  </si>
  <si>
    <t xml:space="preserve">Technologie und natürliche Ressourcen</t>
  </si>
  <si>
    <t xml:space="preserve">Finanzielle Ressourcen</t>
  </si>
  <si>
    <t xml:space="preserve">Institutionelle Strukturen und personelle Ressourcen</t>
  </si>
  <si>
    <t xml:space="preserve">Rechtliche Rahmenbedingungen und politische Strategien</t>
  </si>
  <si>
    <t xml:space="preserve">Zeitscheiben</t>
  </si>
  <si>
    <t xml:space="preserve">Gegenwart (Bezugszeitraum 1971–2000)</t>
  </si>
  <si>
    <t xml:space="preserve">Mitte des Jahrhunderts (2031–2060)</t>
  </si>
  <si>
    <t xml:space="preserve">Ende des Jahrhunderts (2071–2100)</t>
  </si>
  <si>
    <t xml:space="preserve">Fälle</t>
  </si>
  <si>
    <t xml:space="preserve">optimistisch: günstigere Kombination aus Klima- und sozioökonomischen Projektionen</t>
  </si>
  <si>
    <t xml:space="preserve">pessimistisch: ungünstigere Kombination</t>
  </si>
  <si>
    <t xml:space="preserve">bei Chancen: chancenreicher / chancenarmer Fall</t>
  </si>
  <si>
    <t xml:space="preserve">Indikatoren-Präfixe</t>
  </si>
  <si>
    <t xml:space="preserve">BO Boden · LW Landwirtschaft · FW Wald- und Forstwirtschaft · FI Fischerei</t>
  </si>
  <si>
    <t xml:space="preserve">KUE Küsten- und Meeresschutz · WW Wasserhaushalt · BAU Bauwesen · EW Energiewirtschaft</t>
  </si>
  <si>
    <t xml:space="preserve">VE Verkehr · IG Industrie und Gewerbe · TOU Tourismus · GE Gesundheit</t>
  </si>
  <si>
    <t xml:space="preserve">KL = klimatischer Indikator · SO = sozioökonomischer Indikator</t>
  </si>
  <si>
    <t xml:space="preserve">Klimaraumtypen (7)</t>
  </si>
  <si>
    <t xml:space="preserve">Küsten</t>
  </si>
  <si>
    <t xml:space="preserve">Nordwesten</t>
  </si>
  <si>
    <t xml:space="preserve">Trockenste Region</t>
  </si>
  <si>
    <t xml:space="preserve">Wärmste Region</t>
  </si>
  <si>
    <t xml:space="preserve">Südosten</t>
  </si>
  <si>
    <t xml:space="preserve">Mittelgebirge</t>
  </si>
  <si>
    <t xml:space="preserve">Gebirge</t>
  </si>
  <si>
    <t xml:space="preserve">Querschnittsfelder (3, keine Handlungsfelder)</t>
  </si>
  <si>
    <t xml:space="preserve">Raumordnung</t>
  </si>
  <si>
    <t xml:space="preserve">Bevölkerungsschutz</t>
  </si>
  <si>
    <t xml:space="preserve">Finanzwirtschaft</t>
  </si>
  <si>
    <t xml:space="preserve">Auswertung (Formeln, aktualisieren sich mit dem Datenblatt)</t>
  </si>
  <si>
    <t xml:space="preserve">Klimawirkungen je Cluster</t>
  </si>
  <si>
    <t xml:space="preserve">Risikoverteilung ohne Anpassung</t>
  </si>
  <si>
    <t xml:space="preserve">Stufe</t>
  </si>
  <si>
    <t xml:space="preserve">Gegenwart</t>
  </si>
  <si>
    <t xml:space="preserve">Mitte optim.</t>
  </si>
  <si>
    <t xml:space="preserve">Mitte pessim.</t>
  </si>
  <si>
    <t xml:space="preserve">Ende optim.</t>
  </si>
  <si>
    <t xml:space="preserve">Ende pessim.</t>
  </si>
  <si>
    <t xml:space="preserve">Restrisiko der 33 analysierten Klimawirkungen (Mitte des Jahrhunderts, pessimistisch)</t>
  </si>
  <si>
    <t xml:space="preserve">ohne Anpassung</t>
  </si>
  <si>
    <t xml:space="preserve">mit APA III</t>
  </si>
  <si>
    <t xml:space="preserve">mit weiterreichender Anpassung</t>
  </si>
  <si>
    <t xml:space="preserve">Weitere Kennzahlen</t>
  </si>
  <si>
    <t xml:space="preserve">Soll: 33</t>
  </si>
  <si>
    <t xml:space="preserve">Intensiv bearbeitet</t>
  </si>
  <si>
    <t xml:space="preserve">Soll: 37</t>
  </si>
  <si>
    <t xml:space="preserve">Soll: 9</t>
  </si>
  <si>
    <t xml:space="preserve">Als Chance bewertet</t>
  </si>
  <si>
    <t xml:space="preserve">Soll: 2</t>
  </si>
  <si>
    <t xml:space="preserve">Ohne Anpassungsmöglichkeit</t>
  </si>
  <si>
    <t xml:space="preserve">Soll: 6</t>
  </si>
  <si>
    <t xml:space="preserve">Anpassungsdauer über 50 Jahre</t>
  </si>
  <si>
    <t xml:space="preserve">Anpassungsdauer unter 10 Jahren</t>
  </si>
  <si>
    <t xml:space="preserve">Hohes Risiko bereits in der Gegenwart</t>
  </si>
  <si>
    <t xml:space="preserve">Soll: 1</t>
  </si>
  <si>
    <t xml:space="preserve">Mit Indikatoren hinterlegt</t>
  </si>
  <si>
    <t xml:space="preserve">Indikatoren insgesamt</t>
  </si>
  <si>
    <t xml:space="preserve">Alle Formeln beziehen sich auf Zeilen 3–104 im Blatt „Klimawirkungen“.</t>
  </si>
</sst>
</file>

<file path=xl/styles.xml><?xml version="1.0" encoding="utf-8"?>
<styleSheet xmlns="http://schemas.openxmlformats.org/spreadsheetml/2006/main">
  <numFmts count="2">
    <numFmt numFmtId="164" formatCode="General"/>
    <numFmt numFmtId="165" formatCode="General"/>
  </numFmts>
  <fonts count="2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9"/>
      <color rgb="FFFFFFFF"/>
      <name val="Arial"/>
      <family val="0"/>
      <charset val="1"/>
    </font>
    <font>
      <sz val="9"/>
      <name val="Arial"/>
      <family val="0"/>
      <charset val="1"/>
    </font>
    <font>
      <sz val="9"/>
      <color rgb="FF375623"/>
      <name val="Arial"/>
      <family val="0"/>
      <charset val="1"/>
    </font>
    <font>
      <sz val="9"/>
      <color rgb="FF7F6000"/>
      <name val="Arial"/>
      <family val="0"/>
      <charset val="1"/>
    </font>
    <font>
      <sz val="9"/>
      <color rgb="FF833C00"/>
      <name val="Arial"/>
      <family val="0"/>
      <charset val="1"/>
    </font>
    <font>
      <sz val="10"/>
      <name val="Arial"/>
      <family val="2"/>
    </font>
    <font>
      <b val="true"/>
      <sz val="13"/>
      <color rgb="FF1F3864"/>
      <name val="Arial"/>
      <family val="0"/>
      <charset val="1"/>
    </font>
    <font>
      <i val="true"/>
      <sz val="10"/>
      <name val="Arial"/>
      <family val="0"/>
      <charset val="1"/>
    </font>
    <font>
      <b val="true"/>
      <sz val="9"/>
      <name val="Arial"/>
      <family val="0"/>
      <charset val="1"/>
    </font>
    <font>
      <i val="true"/>
      <sz val="10"/>
      <color rgb="FF8A5A18"/>
      <name val="Arial"/>
      <family val="0"/>
      <charset val="1"/>
    </font>
    <font>
      <b val="true"/>
      <sz val="10"/>
      <color rgb="FFFFFFFF"/>
      <name val="Arial"/>
      <family val="0"/>
      <charset val="1"/>
    </font>
    <font>
      <b val="true"/>
      <sz val="11"/>
      <color rgb="FF1F3864"/>
      <name val="Arial"/>
      <family val="0"/>
      <charset val="1"/>
    </font>
    <font>
      <b val="true"/>
      <sz val="10"/>
      <name val="Arial"/>
      <family val="0"/>
      <charset val="1"/>
    </font>
    <font>
      <sz val="10"/>
      <name val="Arial"/>
      <family val="0"/>
      <charset val="1"/>
    </font>
    <font>
      <i val="true"/>
      <sz val="9"/>
      <name val="Arial"/>
      <family val="0"/>
      <charset val="1"/>
    </font>
    <font>
      <b val="true"/>
      <i val="true"/>
      <sz val="10"/>
      <name val="Arial"/>
      <family val="0"/>
      <charset val="1"/>
    </font>
    <font>
      <b val="true"/>
      <sz val="14"/>
      <color rgb="FF1F3864"/>
      <name val="Arial"/>
      <family val="0"/>
      <charset val="1"/>
    </font>
    <font>
      <b val="true"/>
      <sz val="12"/>
      <color rgb="FF1F3864"/>
      <name val="Arial"/>
      <family val="0"/>
      <charset val="1"/>
    </font>
    <font>
      <b val="true"/>
      <sz val="11"/>
      <name val="Arial"/>
      <family val="0"/>
      <charset val="1"/>
    </font>
  </fonts>
  <fills count="26">
    <fill>
      <patternFill patternType="none"/>
    </fill>
    <fill>
      <patternFill patternType="gray125"/>
    </fill>
    <fill>
      <patternFill patternType="solid">
        <fgColor rgb="FF1F3864"/>
        <bgColor rgb="FF5B3A6E"/>
      </patternFill>
    </fill>
    <fill>
      <patternFill patternType="solid">
        <fgColor rgb="FF2E6B4F"/>
        <bgColor rgb="FF375623"/>
      </patternFill>
    </fill>
    <fill>
      <patternFill patternType="solid">
        <fgColor rgb="FF8A5A18"/>
        <bgColor rgb="FF7F6000"/>
      </patternFill>
    </fill>
    <fill>
      <patternFill patternType="solid">
        <fgColor rgb="FF5B3A6E"/>
        <bgColor rgb="FF1F3864"/>
      </patternFill>
    </fill>
    <fill>
      <patternFill patternType="solid">
        <fgColor rgb="FFC6E0B4"/>
        <bgColor rgb="FFD0D0D0"/>
      </patternFill>
    </fill>
    <fill>
      <patternFill patternType="solid">
        <fgColor rgb="FFFFD966"/>
        <bgColor rgb="FFF4B183"/>
      </patternFill>
    </fill>
    <fill>
      <patternFill patternType="solid">
        <fgColor rgb="FFE06666"/>
        <bgColor rgb="FFFF6600"/>
      </patternFill>
    </fill>
    <fill>
      <patternFill patternType="solid">
        <fgColor rgb="FFF5F5F5"/>
        <bgColor rgb="FFF6F6FF"/>
      </patternFill>
    </fill>
    <fill>
      <patternFill patternType="solid">
        <fgColor rgb="FFE2EFC7"/>
        <bgColor rgb="FFF5F5F5"/>
      </patternFill>
    </fill>
    <fill>
      <patternFill patternType="solid">
        <fgColor rgb="FFF4B183"/>
        <bgColor rgb="FFFFD966"/>
      </patternFill>
    </fill>
    <fill>
      <patternFill patternType="solid">
        <fgColor rgb="FFD3D3FF"/>
        <bgColor rgb="FFD0D0FF"/>
      </patternFill>
    </fill>
    <fill>
      <patternFill patternType="solid">
        <fgColor rgb="FFA5A5FF"/>
        <bgColor rgb="FFAFAFFF"/>
      </patternFill>
    </fill>
    <fill>
      <patternFill patternType="solid">
        <fgColor rgb="FFE7E7FF"/>
        <bgColor rgb="FFEBEBFF"/>
      </patternFill>
    </fill>
    <fill>
      <patternFill patternType="solid">
        <fgColor rgb="FFEEEEFF"/>
        <bgColor rgb="FFF0F0FF"/>
      </patternFill>
    </fill>
    <fill>
      <patternFill patternType="solid">
        <fgColor rgb="FFF0F0FF"/>
        <bgColor rgb="FFEEEEFF"/>
      </patternFill>
    </fill>
    <fill>
      <patternFill patternType="solid">
        <fgColor rgb="FFF4F4FF"/>
        <bgColor rgb="FFF6F6FF"/>
      </patternFill>
    </fill>
    <fill>
      <patternFill patternType="solid">
        <fgColor rgb="FFAFAFFF"/>
        <bgColor rgb="FFA5A5FF"/>
      </patternFill>
    </fill>
    <fill>
      <patternFill patternType="solid">
        <fgColor rgb="FFF9F9FF"/>
        <bgColor rgb="FFF7F7FF"/>
      </patternFill>
    </fill>
    <fill>
      <patternFill patternType="solid">
        <fgColor rgb="FFD0D0FF"/>
        <bgColor rgb="FFD3D3FF"/>
      </patternFill>
    </fill>
    <fill>
      <patternFill patternType="solid">
        <fgColor rgb="FFEBEBFF"/>
        <bgColor rgb="FFEEEEFF"/>
      </patternFill>
    </fill>
    <fill>
      <patternFill patternType="solid">
        <fgColor rgb="FFF6F6FF"/>
        <bgColor rgb="FFF7F7FF"/>
      </patternFill>
    </fill>
    <fill>
      <patternFill patternType="solid">
        <fgColor rgb="FFF7F7FF"/>
        <bgColor rgb="FFF6F6FF"/>
      </patternFill>
    </fill>
    <fill>
      <patternFill patternType="solid">
        <fgColor rgb="FFFDFDFF"/>
        <bgColor rgb="FFFFFFFF"/>
      </patternFill>
    </fill>
    <fill>
      <patternFill patternType="solid">
        <fgColor rgb="FFF2F2FF"/>
        <bgColor rgb="FFF0F0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4" fillId="4" borderId="0" xfId="0" applyFont="true" applyBorder="tru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6" fillId="9" borderId="1" xfId="0" applyFont="true" applyBorder="true" applyAlignment="true" applyProtection="false">
      <alignment horizontal="center" vertical="top" textRotation="0" wrapText="false" indent="0" shrinkToFit="false"/>
      <protection locked="true" hidden="false"/>
    </xf>
    <xf numFmtId="164" fontId="6" fillId="9" borderId="1" xfId="0" applyFont="true" applyBorder="true" applyAlignment="true" applyProtection="false">
      <alignment horizontal="left" vertical="top" textRotation="0" wrapText="fals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4" fontId="9" fillId="11"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4" fontId="5" fillId="5"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4" fontId="9" fillId="11" borderId="1" xfId="0" applyFont="true" applyBorder="true" applyAlignment="true" applyProtection="false">
      <alignment horizontal="center" vertical="bottom" textRotation="0" wrapText="false" indent="0" shrinkToFit="false"/>
      <protection locked="true" hidden="false"/>
    </xf>
    <xf numFmtId="164" fontId="7" fillId="10" borderId="1"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center" vertical="center" textRotation="0" wrapText="true" indent="0" shrinkToFit="false"/>
      <protection locked="true" hidden="false"/>
    </xf>
    <xf numFmtId="164" fontId="20" fillId="12" borderId="1" xfId="0" applyFont="true" applyBorder="true" applyAlignment="true" applyProtection="false">
      <alignment horizontal="center" vertical="bottom" textRotation="0" wrapText="false" indent="0" shrinkToFit="false"/>
      <protection locked="true" hidden="false"/>
    </xf>
    <xf numFmtId="164" fontId="17" fillId="13" borderId="1" xfId="0" applyFont="true" applyBorder="true" applyAlignment="true" applyProtection="false">
      <alignment horizontal="center" vertical="bottom" textRotation="0" wrapText="false" indent="0" shrinkToFit="false"/>
      <protection locked="true" hidden="false"/>
    </xf>
    <xf numFmtId="164" fontId="18" fillId="14" borderId="1" xfId="0" applyFont="true" applyBorder="true" applyAlignment="true" applyProtection="false">
      <alignment horizontal="center" vertical="bottom" textRotation="0" wrapText="false" indent="0" shrinkToFit="false"/>
      <protection locked="true" hidden="false"/>
    </xf>
    <xf numFmtId="164" fontId="18" fillId="15" borderId="1" xfId="0" applyFont="true" applyBorder="true" applyAlignment="true" applyProtection="false">
      <alignment horizontal="center" vertical="bottom" textRotation="0" wrapText="false" indent="0" shrinkToFit="false"/>
      <protection locked="true" hidden="false"/>
    </xf>
    <xf numFmtId="164" fontId="18" fillId="16"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4" fontId="18" fillId="17" borderId="1" xfId="0" applyFont="true" applyBorder="true" applyAlignment="true" applyProtection="false">
      <alignment horizontal="center" vertical="bottom" textRotation="0" wrapText="false" indent="0" shrinkToFit="false"/>
      <protection locked="true" hidden="false"/>
    </xf>
    <xf numFmtId="164" fontId="20" fillId="18" borderId="1" xfId="0" applyFont="true" applyBorder="true" applyAlignment="true" applyProtection="false">
      <alignment horizontal="center" vertical="bottom" textRotation="0" wrapText="false" indent="0" shrinkToFit="false"/>
      <protection locked="true" hidden="false"/>
    </xf>
    <xf numFmtId="164" fontId="18" fillId="19" borderId="1" xfId="0" applyFont="true" applyBorder="true" applyAlignment="true" applyProtection="false">
      <alignment horizontal="center" vertical="bottom" textRotation="0" wrapText="false" indent="0" shrinkToFit="false"/>
      <protection locked="true" hidden="false"/>
    </xf>
    <xf numFmtId="164" fontId="20" fillId="20" borderId="1" xfId="0" applyFont="true" applyBorder="true" applyAlignment="true" applyProtection="false">
      <alignment horizontal="center" vertical="bottom" textRotation="0" wrapText="false" indent="0" shrinkToFit="false"/>
      <protection locked="true" hidden="false"/>
    </xf>
    <xf numFmtId="164" fontId="18" fillId="21"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2" fillId="22" borderId="1" xfId="0" applyFont="true" applyBorder="true" applyAlignment="true" applyProtection="false">
      <alignment horizontal="center" vertical="bottom" textRotation="0" wrapText="false" indent="0" shrinkToFit="false"/>
      <protection locked="true" hidden="false"/>
    </xf>
    <xf numFmtId="164" fontId="18" fillId="23" borderId="1" xfId="0" applyFont="true" applyBorder="true" applyAlignment="true" applyProtection="false">
      <alignment horizontal="center" vertical="bottom" textRotation="0" wrapText="false" indent="0" shrinkToFit="false"/>
      <protection locked="true" hidden="false"/>
    </xf>
    <xf numFmtId="164" fontId="18" fillId="24" borderId="1" xfId="0" applyFont="true" applyBorder="true" applyAlignment="true" applyProtection="false">
      <alignment horizontal="center" vertical="bottom" textRotation="0" wrapText="false" indent="0" shrinkToFit="false"/>
      <protection locked="true" hidden="false"/>
    </xf>
    <xf numFmtId="164" fontId="18" fillId="25" borderId="1" xfId="0" applyFont="true" applyBorder="true" applyAlignment="true" applyProtection="false">
      <alignment horizontal="center" vertical="bottom" textRotation="0" wrapText="false" indent="0" shrinkToFit="false"/>
      <protection locked="true" hidden="false"/>
    </xf>
    <xf numFmtId="164" fontId="12" fillId="17"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5F5F5"/>
          <bgColor rgb="FF000000"/>
        </patternFill>
      </fill>
    </dxf>
    <dxf>
      <fill>
        <patternFill patternType="solid">
          <bgColor rgb="FF000000"/>
        </patternFill>
      </fill>
    </dxf>
    <dxf>
      <fill>
        <patternFill patternType="solid">
          <fgColor rgb="FFFFFFFF"/>
          <bgColor rgb="FF000000"/>
        </patternFill>
      </fill>
    </dxf>
    <dxf>
      <fill>
        <patternFill patternType="solid">
          <fgColor rgb="FF2E6B4F"/>
          <bgColor rgb="FF000000"/>
        </patternFill>
      </fill>
    </dxf>
    <dxf>
      <fill>
        <patternFill patternType="solid">
          <fgColor rgb="FF8A5A18"/>
          <bgColor rgb="FF000000"/>
        </patternFill>
      </fill>
    </dxf>
    <dxf>
      <fill>
        <patternFill patternType="solid">
          <fgColor rgb="FFC6E0B4"/>
          <bgColor rgb="FF000000"/>
        </patternFill>
      </fill>
    </dxf>
    <dxf>
      <fill>
        <patternFill patternType="solid">
          <fgColor rgb="FFE06666"/>
          <bgColor rgb="FF000000"/>
        </patternFill>
      </fill>
    </dxf>
    <dxf>
      <fill>
        <patternFill patternType="solid">
          <fgColor rgb="FFFFD966"/>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5B3A6E"/>
          <bgColor rgb="FF000000"/>
        </patternFill>
      </fill>
    </dxf>
    <dxf>
      <fill>
        <patternFill patternType="solid">
          <fgColor rgb="FFE2EFC7"/>
          <bgColor rgb="FF000000"/>
        </patternFill>
      </fill>
    </dxf>
    <dxf>
      <fill>
        <patternFill patternType="solid">
          <fgColor rgb="FFF4B183"/>
          <bgColor rgb="FF000000"/>
        </patternFill>
      </fill>
    </dxf>
    <dxf>
      <fill>
        <patternFill patternType="solid">
          <fgColor rgb="FF833C00"/>
          <bgColor rgb="FF000000"/>
        </patternFill>
      </fill>
    </dxf>
  </dxfs>
  <colors>
    <indexedColors>
      <rgbColor rgb="FF000000"/>
      <rgbColor rgb="FFFFFFFF"/>
      <rgbColor rgb="FFFF0000"/>
      <rgbColor rgb="FF00FF00"/>
      <rgbColor rgb="FF0000FF"/>
      <rgbColor rgb="FFF9F9FF"/>
      <rgbColor rgb="FFFF00FF"/>
      <rgbColor rgb="FF00FFFF"/>
      <rgbColor rgb="FF800000"/>
      <rgbColor rgb="FF008000"/>
      <rgbColor rgb="FF000080"/>
      <rgbColor rgb="FF7F6000"/>
      <rgbColor rgb="FF800080"/>
      <rgbColor rgb="FF2E6B4F"/>
      <rgbColor rgb="FFD0D0D0"/>
      <rgbColor rgb="FFF6F6FF"/>
      <rgbColor rgb="FFA5A5FF"/>
      <rgbColor rgb="FF8A5A18"/>
      <rgbColor rgb="FFF5F5F5"/>
      <rgbColor rgb="FFEEEEFF"/>
      <rgbColor rgb="FF660066"/>
      <rgbColor rgb="FFE06666"/>
      <rgbColor rgb="FF0066CC"/>
      <rgbColor rgb="FFD0D0FF"/>
      <rgbColor rgb="FF000080"/>
      <rgbColor rgb="FFFF00FF"/>
      <rgbColor rgb="FFF7F7FF"/>
      <rgbColor rgb="FF00FFFF"/>
      <rgbColor rgb="FF800080"/>
      <rgbColor rgb="FF800000"/>
      <rgbColor rgb="FF008080"/>
      <rgbColor rgb="FF0000FF"/>
      <rgbColor rgb="FF00CCFF"/>
      <rgbColor rgb="FFF0F0FF"/>
      <rgbColor rgb="FFE2EFC7"/>
      <rgbColor rgb="FFFDFDFF"/>
      <rgbColor rgb="FFD3D3FF"/>
      <rgbColor rgb="FFF4B183"/>
      <rgbColor rgb="FFAFAFFF"/>
      <rgbColor rgb="FFFFD966"/>
      <rgbColor rgb="FF3366FF"/>
      <rgbColor rgb="FFF4F4FF"/>
      <rgbColor rgb="FFEBEBFF"/>
      <rgbColor rgb="FFE7E7FF"/>
      <rgbColor rgb="FFF2F2FF"/>
      <rgbColor rgb="FFFF6600"/>
      <rgbColor rgb="FF666699"/>
      <rgbColor rgb="FFC6E0B4"/>
      <rgbColor rgb="FF1F3864"/>
      <rgbColor rgb="FF339966"/>
      <rgbColor rgb="FF003300"/>
      <rgbColor rgb="FF333300"/>
      <rgbColor rgb="FF833C00"/>
      <rgbColor rgb="FF993366"/>
      <rgbColor rgb="FF5B3A6E"/>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E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28"/>
    <col collapsed="false" customWidth="true" hidden="false" outlineLevel="0" max="4" min="4" style="1" width="58"/>
    <col collapsed="false" customWidth="true" hidden="false" outlineLevel="0" max="5" min="5" style="1" width="15"/>
    <col collapsed="false" customWidth="true" hidden="false" outlineLevel="0" max="6" min="6" style="1" width="52"/>
    <col collapsed="false" customWidth="true" hidden="false" outlineLevel="0" max="7" min="7" style="1" width="42"/>
    <col collapsed="false" customWidth="true" hidden="false" outlineLevel="0" max="8" min="8" style="1" width="44"/>
    <col collapsed="false" customWidth="true" hidden="false" outlineLevel="0" max="9" min="9" style="1" width="30"/>
    <col collapsed="false" customWidth="true" hidden="false" outlineLevel="0" max="10" min="10" style="1" width="60"/>
    <col collapsed="false" customWidth="true" hidden="false" outlineLevel="0" max="11" min="11" style="1" width="10"/>
    <col collapsed="false" customWidth="true" hidden="false" outlineLevel="0" max="12" min="12" style="1" width="13"/>
    <col collapsed="false" customWidth="true" hidden="false" outlineLevel="0" max="13" min="13" style="1" width="30"/>
    <col collapsed="false" customWidth="true" hidden="false" outlineLevel="0" max="18" min="14" style="1" width="14"/>
    <col collapsed="false" customWidth="true" hidden="false" outlineLevel="0" max="20" min="19" style="1" width="13"/>
    <col collapsed="false" customWidth="true" hidden="false" outlineLevel="0" max="21" min="21" style="1" width="19"/>
    <col collapsed="false" customWidth="true" hidden="false" outlineLevel="0" max="22" min="22" style="1" width="14"/>
    <col collapsed="false" customWidth="true" hidden="false" outlineLevel="0" max="32" min="23" style="1" width="15"/>
    <col collapsed="false" customWidth="true" hidden="false" outlineLevel="0" max="33" min="33" style="1" width="34"/>
    <col collapsed="false" customWidth="true" hidden="false" outlineLevel="0" max="34" min="34" style="1" width="22"/>
    <col collapsed="false" customWidth="true" hidden="false" outlineLevel="0" max="35" min="35" style="1" width="44"/>
    <col collapsed="false" customWidth="true" hidden="false" outlineLevel="0" max="36" min="36" style="1" width="30"/>
    <col collapsed="false" customWidth="true" hidden="false" outlineLevel="0" max="37" min="37" style="1" width="55"/>
  </cols>
  <sheetData>
    <row r="1" customFormat="false" ht="19.5" hidden="false" customHeight="true" outlineLevel="0" collapsed="false">
      <c r="A1" s="2" t="s">
        <v>0</v>
      </c>
      <c r="B1" s="2"/>
      <c r="C1" s="2"/>
      <c r="D1" s="2"/>
      <c r="E1" s="3" t="s">
        <v>1</v>
      </c>
      <c r="F1" s="3"/>
      <c r="G1" s="3"/>
      <c r="H1" s="3"/>
      <c r="I1" s="3"/>
      <c r="J1" s="3"/>
      <c r="K1" s="3"/>
      <c r="L1" s="3"/>
      <c r="M1" s="3"/>
      <c r="N1" s="4" t="s">
        <v>2</v>
      </c>
      <c r="O1" s="4"/>
      <c r="P1" s="4"/>
      <c r="Q1" s="4"/>
      <c r="R1" s="4"/>
      <c r="S1" s="4"/>
      <c r="T1" s="4"/>
      <c r="U1" s="4"/>
      <c r="V1" s="5" t="s">
        <v>3</v>
      </c>
      <c r="W1" s="5"/>
      <c r="X1" s="5"/>
      <c r="Y1" s="5"/>
      <c r="Z1" s="5"/>
      <c r="AA1" s="5"/>
      <c r="AB1" s="5"/>
      <c r="AC1" s="5"/>
      <c r="AD1" s="5"/>
      <c r="AE1" s="5"/>
      <c r="AF1" s="5"/>
      <c r="AG1" s="5"/>
      <c r="AH1" s="5"/>
      <c r="AI1" s="5"/>
      <c r="AJ1" s="5"/>
      <c r="AK1" s="5"/>
    </row>
    <row r="2" customFormat="false" ht="54" hidden="false" customHeight="true" outlineLevel="0" collapsed="false">
      <c r="A2" s="6" t="s">
        <v>4</v>
      </c>
      <c r="B2" s="6" t="s">
        <v>5</v>
      </c>
      <c r="C2" s="6" t="s">
        <v>6</v>
      </c>
      <c r="D2" s="6" t="s">
        <v>7</v>
      </c>
      <c r="E2" s="7" t="s">
        <v>8</v>
      </c>
      <c r="F2" s="7" t="s">
        <v>9</v>
      </c>
      <c r="G2" s="7" t="s">
        <v>10</v>
      </c>
      <c r="H2" s="7" t="s">
        <v>11</v>
      </c>
      <c r="I2" s="7" t="s">
        <v>12</v>
      </c>
      <c r="J2" s="7" t="s">
        <v>13</v>
      </c>
      <c r="K2" s="7" t="s">
        <v>14</v>
      </c>
      <c r="L2" s="7" t="s">
        <v>15</v>
      </c>
      <c r="M2" s="7" t="s">
        <v>16</v>
      </c>
      <c r="N2" s="8" t="s">
        <v>17</v>
      </c>
      <c r="O2" s="8" t="s">
        <v>18</v>
      </c>
      <c r="P2" s="8" t="s">
        <v>19</v>
      </c>
      <c r="Q2" s="8" t="s">
        <v>20</v>
      </c>
      <c r="R2" s="8" t="s">
        <v>21</v>
      </c>
      <c r="S2" s="8" t="s">
        <v>22</v>
      </c>
      <c r="T2" s="8" t="s">
        <v>23</v>
      </c>
      <c r="U2" s="8" t="s">
        <v>24</v>
      </c>
      <c r="V2" s="9" t="s">
        <v>25</v>
      </c>
      <c r="W2" s="9" t="s">
        <v>26</v>
      </c>
      <c r="X2" s="9" t="s">
        <v>27</v>
      </c>
      <c r="Y2" s="9" t="s">
        <v>28</v>
      </c>
      <c r="Z2" s="9" t="s">
        <v>29</v>
      </c>
      <c r="AA2" s="9" t="s">
        <v>30</v>
      </c>
      <c r="AB2" s="9" t="s">
        <v>31</v>
      </c>
      <c r="AC2" s="9" t="s">
        <v>32</v>
      </c>
      <c r="AD2" s="9" t="s">
        <v>33</v>
      </c>
      <c r="AE2" s="9" t="s">
        <v>34</v>
      </c>
      <c r="AF2" s="9" t="s">
        <v>35</v>
      </c>
      <c r="AG2" s="9" t="s">
        <v>36</v>
      </c>
      <c r="AH2" s="9" t="s">
        <v>37</v>
      </c>
      <c r="AI2" s="9" t="s">
        <v>38</v>
      </c>
      <c r="AJ2" s="9" t="s">
        <v>39</v>
      </c>
      <c r="AK2" s="9" t="s">
        <v>40</v>
      </c>
    </row>
    <row r="3" customFormat="false" ht="32.25" hidden="false" customHeight="true" outlineLevel="0" collapsed="false">
      <c r="A3" s="10" t="n">
        <v>1</v>
      </c>
      <c r="B3" s="11" t="s">
        <v>41</v>
      </c>
      <c r="C3" s="11" t="s">
        <v>42</v>
      </c>
      <c r="D3" s="12" t="s">
        <v>43</v>
      </c>
      <c r="E3" s="13" t="s">
        <v>44</v>
      </c>
      <c r="F3" s="12" t="s">
        <v>45</v>
      </c>
      <c r="G3" s="12" t="s">
        <v>46</v>
      </c>
      <c r="H3" s="12"/>
      <c r="I3" s="13"/>
      <c r="J3" s="12"/>
      <c r="K3" s="13" t="s">
        <v>47</v>
      </c>
      <c r="L3" s="13"/>
      <c r="M3" s="12" t="s">
        <v>48</v>
      </c>
      <c r="N3" s="14" t="s">
        <v>49</v>
      </c>
      <c r="O3" s="15" t="s">
        <v>50</v>
      </c>
      <c r="P3" s="16" t="s">
        <v>51</v>
      </c>
      <c r="Q3" s="15" t="s">
        <v>50</v>
      </c>
      <c r="R3" s="16" t="s">
        <v>51</v>
      </c>
      <c r="S3" s="13" t="s">
        <v>50</v>
      </c>
      <c r="T3" s="13" t="s">
        <v>49</v>
      </c>
      <c r="U3" s="13" t="s">
        <v>52</v>
      </c>
      <c r="V3" s="13" t="s">
        <v>53</v>
      </c>
      <c r="W3" s="13"/>
      <c r="X3" s="13"/>
      <c r="Y3" s="13"/>
      <c r="Z3" s="13"/>
      <c r="AA3" s="13"/>
      <c r="AB3" s="13"/>
      <c r="AC3" s="13"/>
      <c r="AD3" s="13"/>
      <c r="AE3" s="13"/>
      <c r="AF3" s="13"/>
      <c r="AG3" s="12" t="s">
        <v>54</v>
      </c>
      <c r="AH3" s="12" t="s">
        <v>55</v>
      </c>
      <c r="AI3" s="12" t="s">
        <v>56</v>
      </c>
      <c r="AJ3" s="12" t="s">
        <v>57</v>
      </c>
      <c r="AK3" s="12"/>
    </row>
    <row r="4" customFormat="false" ht="32.25" hidden="false" customHeight="true" outlineLevel="0" collapsed="false">
      <c r="A4" s="17" t="n">
        <v>2</v>
      </c>
      <c r="B4" s="18" t="s">
        <v>41</v>
      </c>
      <c r="C4" s="18" t="s">
        <v>42</v>
      </c>
      <c r="D4" s="19" t="s">
        <v>58</v>
      </c>
      <c r="E4" s="20" t="s">
        <v>44</v>
      </c>
      <c r="F4" s="19"/>
      <c r="G4" s="19"/>
      <c r="H4" s="19"/>
      <c r="I4" s="20"/>
      <c r="J4" s="19"/>
      <c r="K4" s="20" t="s">
        <v>47</v>
      </c>
      <c r="L4" s="20"/>
      <c r="M4" s="19" t="s">
        <v>48</v>
      </c>
      <c r="N4" s="15" t="s">
        <v>50</v>
      </c>
      <c r="O4" s="15" t="s">
        <v>50</v>
      </c>
      <c r="P4" s="16" t="s">
        <v>51</v>
      </c>
      <c r="Q4" s="16" t="s">
        <v>51</v>
      </c>
      <c r="R4" s="16" t="s">
        <v>51</v>
      </c>
      <c r="S4" s="20" t="s">
        <v>50</v>
      </c>
      <c r="T4" s="20" t="s">
        <v>49</v>
      </c>
      <c r="U4" s="20" t="s">
        <v>59</v>
      </c>
      <c r="V4" s="20" t="s">
        <v>60</v>
      </c>
      <c r="W4" s="14" t="s">
        <v>49</v>
      </c>
      <c r="X4" s="21" t="s">
        <v>61</v>
      </c>
      <c r="Y4" s="14" t="s">
        <v>49</v>
      </c>
      <c r="Z4" s="15" t="s">
        <v>50</v>
      </c>
      <c r="AA4" s="21" t="s">
        <v>61</v>
      </c>
      <c r="AB4" s="15" t="s">
        <v>50</v>
      </c>
      <c r="AC4" s="21" t="s">
        <v>61</v>
      </c>
      <c r="AD4" s="16" t="s">
        <v>51</v>
      </c>
      <c r="AE4" s="14" t="s">
        <v>49</v>
      </c>
      <c r="AF4" s="22" t="s">
        <v>62</v>
      </c>
      <c r="AG4" s="19" t="s">
        <v>63</v>
      </c>
      <c r="AH4" s="19"/>
      <c r="AI4" s="19"/>
      <c r="AJ4" s="19" t="s">
        <v>64</v>
      </c>
      <c r="AK4" s="19"/>
    </row>
    <row r="5" customFormat="false" ht="32.25" hidden="false" customHeight="true" outlineLevel="0" collapsed="false">
      <c r="A5" s="10" t="n">
        <v>3</v>
      </c>
      <c r="B5" s="11" t="s">
        <v>41</v>
      </c>
      <c r="C5" s="11" t="s">
        <v>42</v>
      </c>
      <c r="D5" s="12" t="s">
        <v>65</v>
      </c>
      <c r="E5" s="13" t="s">
        <v>66</v>
      </c>
      <c r="F5" s="12"/>
      <c r="G5" s="12"/>
      <c r="H5" s="12"/>
      <c r="I5" s="13"/>
      <c r="J5" s="12"/>
      <c r="K5" s="13" t="s">
        <v>47</v>
      </c>
      <c r="L5" s="13"/>
      <c r="M5" s="12" t="s">
        <v>48</v>
      </c>
      <c r="N5" s="14" t="s">
        <v>49</v>
      </c>
      <c r="O5" s="14" t="s">
        <v>49</v>
      </c>
      <c r="P5" s="15" t="s">
        <v>50</v>
      </c>
      <c r="Q5" s="15" t="s">
        <v>50</v>
      </c>
      <c r="R5" s="16" t="s">
        <v>51</v>
      </c>
      <c r="S5" s="13" t="s">
        <v>50</v>
      </c>
      <c r="T5" s="13" t="s">
        <v>67</v>
      </c>
      <c r="U5" s="13" t="s">
        <v>59</v>
      </c>
      <c r="V5" s="13" t="s">
        <v>60</v>
      </c>
      <c r="W5" s="14" t="s">
        <v>49</v>
      </c>
      <c r="X5" s="14" t="s">
        <v>49</v>
      </c>
      <c r="Y5" s="14" t="s">
        <v>49</v>
      </c>
      <c r="Z5" s="21" t="s">
        <v>61</v>
      </c>
      <c r="AA5" s="21" t="s">
        <v>61</v>
      </c>
      <c r="AB5" s="14" t="s">
        <v>49</v>
      </c>
      <c r="AC5" s="14" t="s">
        <v>49</v>
      </c>
      <c r="AD5" s="15" t="s">
        <v>50</v>
      </c>
      <c r="AE5" s="14" t="s">
        <v>49</v>
      </c>
      <c r="AF5" s="21" t="s">
        <v>61</v>
      </c>
      <c r="AG5" s="12" t="s">
        <v>68</v>
      </c>
      <c r="AH5" s="12"/>
      <c r="AI5" s="12"/>
      <c r="AJ5" s="12" t="s">
        <v>64</v>
      </c>
      <c r="AK5" s="12"/>
    </row>
    <row r="6" customFormat="false" ht="32.25" hidden="false" customHeight="true" outlineLevel="0" collapsed="false">
      <c r="A6" s="17" t="n">
        <v>4</v>
      </c>
      <c r="B6" s="18" t="s">
        <v>41</v>
      </c>
      <c r="C6" s="18" t="s">
        <v>42</v>
      </c>
      <c r="D6" s="19" t="s">
        <v>69</v>
      </c>
      <c r="E6" s="20" t="s">
        <v>66</v>
      </c>
      <c r="F6" s="19"/>
      <c r="G6" s="19" t="s">
        <v>70</v>
      </c>
      <c r="H6" s="19"/>
      <c r="I6" s="20"/>
      <c r="J6" s="19"/>
      <c r="K6" s="20" t="s">
        <v>47</v>
      </c>
      <c r="L6" s="20"/>
      <c r="M6" s="19" t="s">
        <v>48</v>
      </c>
      <c r="N6" s="14" t="s">
        <v>49</v>
      </c>
      <c r="O6" s="15" t="s">
        <v>50</v>
      </c>
      <c r="P6" s="15" t="s">
        <v>50</v>
      </c>
      <c r="Q6" s="15" t="s">
        <v>50</v>
      </c>
      <c r="R6" s="16" t="s">
        <v>51</v>
      </c>
      <c r="S6" s="20" t="s">
        <v>50</v>
      </c>
      <c r="T6" s="20" t="s">
        <v>49</v>
      </c>
      <c r="U6" s="20" t="s">
        <v>59</v>
      </c>
      <c r="V6" s="20" t="s">
        <v>60</v>
      </c>
      <c r="W6" s="14" t="s">
        <v>49</v>
      </c>
      <c r="X6" s="21" t="s">
        <v>61</v>
      </c>
      <c r="Y6" s="14" t="s">
        <v>49</v>
      </c>
      <c r="Z6" s="15" t="s">
        <v>50</v>
      </c>
      <c r="AA6" s="21" t="s">
        <v>61</v>
      </c>
      <c r="AB6" s="14" t="s">
        <v>49</v>
      </c>
      <c r="AC6" s="21" t="s">
        <v>61</v>
      </c>
      <c r="AD6" s="15" t="s">
        <v>50</v>
      </c>
      <c r="AE6" s="14" t="s">
        <v>49</v>
      </c>
      <c r="AF6" s="21" t="s">
        <v>61</v>
      </c>
      <c r="AG6" s="19" t="s">
        <v>68</v>
      </c>
      <c r="AH6" s="19" t="s">
        <v>55</v>
      </c>
      <c r="AI6" s="19"/>
      <c r="AJ6" s="19" t="s">
        <v>64</v>
      </c>
      <c r="AK6" s="19"/>
    </row>
    <row r="7" customFormat="false" ht="21.75" hidden="false" customHeight="true" outlineLevel="0" collapsed="false">
      <c r="A7" s="10" t="n">
        <v>5</v>
      </c>
      <c r="B7" s="11" t="s">
        <v>41</v>
      </c>
      <c r="C7" s="11" t="s">
        <v>42</v>
      </c>
      <c r="D7" s="12" t="s">
        <v>71</v>
      </c>
      <c r="E7" s="13" t="s">
        <v>66</v>
      </c>
      <c r="F7" s="12"/>
      <c r="G7" s="12"/>
      <c r="H7" s="12"/>
      <c r="I7" s="13"/>
      <c r="J7" s="12"/>
      <c r="K7" s="13" t="s">
        <v>47</v>
      </c>
      <c r="L7" s="13"/>
      <c r="M7" s="12" t="s">
        <v>48</v>
      </c>
      <c r="N7" s="14" t="s">
        <v>49</v>
      </c>
      <c r="O7" s="15" t="s">
        <v>50</v>
      </c>
      <c r="P7" s="15" t="s">
        <v>50</v>
      </c>
      <c r="Q7" s="15" t="s">
        <v>50</v>
      </c>
      <c r="R7" s="16" t="s">
        <v>51</v>
      </c>
      <c r="S7" s="13" t="s">
        <v>50</v>
      </c>
      <c r="T7" s="13" t="s">
        <v>50</v>
      </c>
      <c r="U7" s="13" t="s">
        <v>59</v>
      </c>
      <c r="V7" s="13" t="s">
        <v>53</v>
      </c>
      <c r="W7" s="13"/>
      <c r="X7" s="13"/>
      <c r="Y7" s="13"/>
      <c r="Z7" s="13"/>
      <c r="AA7" s="13"/>
      <c r="AB7" s="13"/>
      <c r="AC7" s="13"/>
      <c r="AD7" s="13"/>
      <c r="AE7" s="13"/>
      <c r="AF7" s="13"/>
      <c r="AG7" s="12" t="s">
        <v>68</v>
      </c>
      <c r="AH7" s="12" t="s">
        <v>72</v>
      </c>
      <c r="AI7" s="12"/>
      <c r="AJ7" s="12" t="s">
        <v>57</v>
      </c>
      <c r="AK7" s="12"/>
    </row>
    <row r="8" customFormat="false" ht="21.75" hidden="false" customHeight="true" outlineLevel="0" collapsed="false">
      <c r="A8" s="17" t="n">
        <v>6</v>
      </c>
      <c r="B8" s="18" t="s">
        <v>41</v>
      </c>
      <c r="C8" s="18" t="s">
        <v>42</v>
      </c>
      <c r="D8" s="19" t="s">
        <v>73</v>
      </c>
      <c r="E8" s="20" t="s">
        <v>66</v>
      </c>
      <c r="F8" s="19"/>
      <c r="G8" s="19"/>
      <c r="H8" s="19"/>
      <c r="I8" s="20"/>
      <c r="J8" s="19"/>
      <c r="K8" s="20" t="s">
        <v>47</v>
      </c>
      <c r="L8" s="20"/>
      <c r="M8" s="19" t="s">
        <v>48</v>
      </c>
      <c r="N8" s="14" t="s">
        <v>49</v>
      </c>
      <c r="O8" s="15" t="s">
        <v>50</v>
      </c>
      <c r="P8" s="16" t="s">
        <v>51</v>
      </c>
      <c r="Q8" s="15" t="s">
        <v>50</v>
      </c>
      <c r="R8" s="16" t="s">
        <v>51</v>
      </c>
      <c r="S8" s="20" t="s">
        <v>50</v>
      </c>
      <c r="T8" s="20" t="s">
        <v>50</v>
      </c>
      <c r="U8" s="20" t="s">
        <v>52</v>
      </c>
      <c r="V8" s="20" t="s">
        <v>53</v>
      </c>
      <c r="W8" s="20"/>
      <c r="X8" s="20"/>
      <c r="Y8" s="20"/>
      <c r="Z8" s="20"/>
      <c r="AA8" s="20"/>
      <c r="AB8" s="20"/>
      <c r="AC8" s="20"/>
      <c r="AD8" s="20"/>
      <c r="AE8" s="20"/>
      <c r="AF8" s="20"/>
      <c r="AG8" s="19" t="s">
        <v>54</v>
      </c>
      <c r="AH8" s="19"/>
      <c r="AI8" s="19" t="s">
        <v>56</v>
      </c>
      <c r="AJ8" s="19" t="s">
        <v>57</v>
      </c>
      <c r="AK8" s="19"/>
    </row>
    <row r="9" customFormat="false" ht="32.25" hidden="false" customHeight="true" outlineLevel="0" collapsed="false">
      <c r="A9" s="10" t="n">
        <v>7</v>
      </c>
      <c r="B9" s="11" t="s">
        <v>41</v>
      </c>
      <c r="C9" s="11" t="s">
        <v>42</v>
      </c>
      <c r="D9" s="12" t="s">
        <v>74</v>
      </c>
      <c r="E9" s="13" t="s">
        <v>66</v>
      </c>
      <c r="F9" s="12"/>
      <c r="G9" s="12"/>
      <c r="H9" s="12"/>
      <c r="I9" s="13"/>
      <c r="J9" s="12"/>
      <c r="K9" s="13" t="s">
        <v>47</v>
      </c>
      <c r="L9" s="13"/>
      <c r="M9" s="12" t="s">
        <v>48</v>
      </c>
      <c r="N9" s="15" t="s">
        <v>50</v>
      </c>
      <c r="O9" s="15" t="s">
        <v>50</v>
      </c>
      <c r="P9" s="16" t="s">
        <v>51</v>
      </c>
      <c r="Q9" s="15" t="s">
        <v>50</v>
      </c>
      <c r="R9" s="16" t="s">
        <v>51</v>
      </c>
      <c r="S9" s="13" t="s">
        <v>50</v>
      </c>
      <c r="T9" s="13" t="s">
        <v>50</v>
      </c>
      <c r="U9" s="13" t="s">
        <v>59</v>
      </c>
      <c r="V9" s="13" t="s">
        <v>60</v>
      </c>
      <c r="W9" s="14" t="s">
        <v>49</v>
      </c>
      <c r="X9" s="21" t="s">
        <v>61</v>
      </c>
      <c r="Y9" s="21" t="s">
        <v>61</v>
      </c>
      <c r="Z9" s="15" t="s">
        <v>50</v>
      </c>
      <c r="AA9" s="15" t="s">
        <v>50</v>
      </c>
      <c r="AB9" s="15" t="s">
        <v>50</v>
      </c>
      <c r="AC9" s="21" t="s">
        <v>61</v>
      </c>
      <c r="AD9" s="22" t="s">
        <v>62</v>
      </c>
      <c r="AE9" s="14" t="s">
        <v>49</v>
      </c>
      <c r="AF9" s="15" t="s">
        <v>50</v>
      </c>
      <c r="AG9" s="12" t="s">
        <v>63</v>
      </c>
      <c r="AH9" s="12"/>
      <c r="AI9" s="12"/>
      <c r="AJ9" s="12" t="s">
        <v>64</v>
      </c>
      <c r="AK9" s="12"/>
    </row>
    <row r="10" customFormat="false" ht="32.25" hidden="false" customHeight="true" outlineLevel="0" collapsed="false">
      <c r="A10" s="17" t="n">
        <v>8</v>
      </c>
      <c r="B10" s="18" t="s">
        <v>41</v>
      </c>
      <c r="C10" s="18" t="s">
        <v>42</v>
      </c>
      <c r="D10" s="19" t="s">
        <v>75</v>
      </c>
      <c r="E10" s="20" t="s">
        <v>66</v>
      </c>
      <c r="F10" s="19"/>
      <c r="G10" s="19"/>
      <c r="H10" s="19"/>
      <c r="I10" s="20"/>
      <c r="J10" s="19"/>
      <c r="K10" s="20" t="s">
        <v>47</v>
      </c>
      <c r="L10" s="20"/>
      <c r="M10" s="19" t="s">
        <v>48</v>
      </c>
      <c r="N10" s="15" t="s">
        <v>50</v>
      </c>
      <c r="O10" s="15" t="s">
        <v>50</v>
      </c>
      <c r="P10" s="16" t="s">
        <v>51</v>
      </c>
      <c r="Q10" s="15" t="s">
        <v>50</v>
      </c>
      <c r="R10" s="16" t="s">
        <v>51</v>
      </c>
      <c r="S10" s="20" t="s">
        <v>50</v>
      </c>
      <c r="T10" s="20" t="s">
        <v>49</v>
      </c>
      <c r="U10" s="20" t="s">
        <v>76</v>
      </c>
      <c r="V10" s="20" t="s">
        <v>60</v>
      </c>
      <c r="W10" s="14" t="s">
        <v>49</v>
      </c>
      <c r="X10" s="21" t="s">
        <v>61</v>
      </c>
      <c r="Y10" s="21" t="s">
        <v>61</v>
      </c>
      <c r="Z10" s="15" t="s">
        <v>50</v>
      </c>
      <c r="AA10" s="21" t="s">
        <v>61</v>
      </c>
      <c r="AB10" s="15" t="s">
        <v>50</v>
      </c>
      <c r="AC10" s="21" t="s">
        <v>61</v>
      </c>
      <c r="AD10" s="22" t="s">
        <v>62</v>
      </c>
      <c r="AE10" s="14" t="s">
        <v>49</v>
      </c>
      <c r="AF10" s="22" t="s">
        <v>62</v>
      </c>
      <c r="AG10" s="19" t="s">
        <v>63</v>
      </c>
      <c r="AH10" s="19"/>
      <c r="AI10" s="19"/>
      <c r="AJ10" s="19" t="s">
        <v>64</v>
      </c>
      <c r="AK10" s="19"/>
    </row>
    <row r="11" customFormat="false" ht="21.75" hidden="false" customHeight="true" outlineLevel="0" collapsed="false">
      <c r="A11" s="10" t="n">
        <v>9</v>
      </c>
      <c r="B11" s="11" t="s">
        <v>41</v>
      </c>
      <c r="C11" s="11" t="s">
        <v>42</v>
      </c>
      <c r="D11" s="12" t="s">
        <v>77</v>
      </c>
      <c r="E11" s="13" t="s">
        <v>66</v>
      </c>
      <c r="F11" s="12"/>
      <c r="G11" s="12" t="s">
        <v>78</v>
      </c>
      <c r="H11" s="12"/>
      <c r="I11" s="13"/>
      <c r="J11" s="12"/>
      <c r="K11" s="13" t="s">
        <v>47</v>
      </c>
      <c r="L11" s="13"/>
      <c r="M11" s="12" t="s">
        <v>79</v>
      </c>
      <c r="N11" s="14" t="s">
        <v>49</v>
      </c>
      <c r="O11" s="14" t="s">
        <v>49</v>
      </c>
      <c r="P11" s="15" t="s">
        <v>50</v>
      </c>
      <c r="Q11" s="15" t="s">
        <v>50</v>
      </c>
      <c r="R11" s="16" t="s">
        <v>51</v>
      </c>
      <c r="S11" s="13" t="s">
        <v>67</v>
      </c>
      <c r="T11" s="13" t="s">
        <v>67</v>
      </c>
      <c r="U11" s="13" t="s">
        <v>59</v>
      </c>
      <c r="V11" s="13" t="s">
        <v>53</v>
      </c>
      <c r="W11" s="13"/>
      <c r="X11" s="13"/>
      <c r="Y11" s="13"/>
      <c r="Z11" s="13"/>
      <c r="AA11" s="13"/>
      <c r="AB11" s="13"/>
      <c r="AC11" s="13"/>
      <c r="AD11" s="13"/>
      <c r="AE11" s="13"/>
      <c r="AF11" s="13"/>
      <c r="AG11" s="12" t="s">
        <v>68</v>
      </c>
      <c r="AH11" s="12"/>
      <c r="AI11" s="12"/>
      <c r="AJ11" s="12" t="s">
        <v>57</v>
      </c>
      <c r="AK11" s="12"/>
    </row>
    <row r="12" customFormat="false" ht="32.25" hidden="false" customHeight="true" outlineLevel="0" collapsed="false">
      <c r="A12" s="17" t="n">
        <v>10</v>
      </c>
      <c r="B12" s="18" t="s">
        <v>41</v>
      </c>
      <c r="C12" s="18" t="s">
        <v>80</v>
      </c>
      <c r="D12" s="19" t="s">
        <v>81</v>
      </c>
      <c r="E12" s="20" t="s">
        <v>44</v>
      </c>
      <c r="F12" s="19" t="s">
        <v>82</v>
      </c>
      <c r="G12" s="19"/>
      <c r="H12" s="19" t="s">
        <v>83</v>
      </c>
      <c r="I12" s="20" t="s">
        <v>84</v>
      </c>
      <c r="J12" s="19" t="s">
        <v>85</v>
      </c>
      <c r="K12" s="20" t="s">
        <v>47</v>
      </c>
      <c r="L12" s="20"/>
      <c r="M12" s="19" t="s">
        <v>48</v>
      </c>
      <c r="N12" s="15" t="s">
        <v>50</v>
      </c>
      <c r="O12" s="15" t="s">
        <v>50</v>
      </c>
      <c r="P12" s="16" t="s">
        <v>51</v>
      </c>
      <c r="Q12" s="15" t="s">
        <v>50</v>
      </c>
      <c r="R12" s="16" t="s">
        <v>51</v>
      </c>
      <c r="S12" s="20" t="s">
        <v>50</v>
      </c>
      <c r="T12" s="20" t="s">
        <v>49</v>
      </c>
      <c r="U12" s="20" t="s">
        <v>59</v>
      </c>
      <c r="V12" s="20" t="s">
        <v>60</v>
      </c>
      <c r="W12" s="14" t="s">
        <v>49</v>
      </c>
      <c r="X12" s="21" t="s">
        <v>61</v>
      </c>
      <c r="Y12" s="21" t="s">
        <v>61</v>
      </c>
      <c r="Z12" s="15" t="s">
        <v>50</v>
      </c>
      <c r="AA12" s="15" t="s">
        <v>50</v>
      </c>
      <c r="AB12" s="15" t="s">
        <v>50</v>
      </c>
      <c r="AC12" s="21" t="s">
        <v>61</v>
      </c>
      <c r="AD12" s="22" t="s">
        <v>62</v>
      </c>
      <c r="AE12" s="14" t="s">
        <v>49</v>
      </c>
      <c r="AF12" s="22" t="s">
        <v>62</v>
      </c>
      <c r="AG12" s="19" t="s">
        <v>63</v>
      </c>
      <c r="AH12" s="19"/>
      <c r="AI12" s="19"/>
      <c r="AJ12" s="19" t="s">
        <v>64</v>
      </c>
      <c r="AK12" s="19"/>
    </row>
    <row r="13" customFormat="false" ht="32.25" hidden="false" customHeight="true" outlineLevel="0" collapsed="false">
      <c r="A13" s="10" t="n">
        <v>11</v>
      </c>
      <c r="B13" s="11" t="s">
        <v>41</v>
      </c>
      <c r="C13" s="11" t="s">
        <v>80</v>
      </c>
      <c r="D13" s="12" t="s">
        <v>86</v>
      </c>
      <c r="E13" s="13" t="s">
        <v>66</v>
      </c>
      <c r="F13" s="12"/>
      <c r="G13" s="12"/>
      <c r="H13" s="12"/>
      <c r="I13" s="13"/>
      <c r="J13" s="12"/>
      <c r="K13" s="13" t="s">
        <v>47</v>
      </c>
      <c r="L13" s="13"/>
      <c r="M13" s="12" t="s">
        <v>48</v>
      </c>
      <c r="N13" s="15" t="s">
        <v>50</v>
      </c>
      <c r="O13" s="15" t="s">
        <v>50</v>
      </c>
      <c r="P13" s="16" t="s">
        <v>51</v>
      </c>
      <c r="Q13" s="15" t="s">
        <v>50</v>
      </c>
      <c r="R13" s="16" t="s">
        <v>51</v>
      </c>
      <c r="S13" s="13" t="s">
        <v>50</v>
      </c>
      <c r="T13" s="13" t="s">
        <v>49</v>
      </c>
      <c r="U13" s="13" t="s">
        <v>59</v>
      </c>
      <c r="V13" s="13" t="s">
        <v>60</v>
      </c>
      <c r="W13" s="14" t="s">
        <v>49</v>
      </c>
      <c r="X13" s="14" t="s">
        <v>49</v>
      </c>
      <c r="Y13" s="14" t="s">
        <v>49</v>
      </c>
      <c r="Z13" s="15" t="s">
        <v>50</v>
      </c>
      <c r="AA13" s="15" t="s">
        <v>50</v>
      </c>
      <c r="AB13" s="15" t="s">
        <v>50</v>
      </c>
      <c r="AC13" s="15" t="s">
        <v>50</v>
      </c>
      <c r="AD13" s="16" t="s">
        <v>51</v>
      </c>
      <c r="AE13" s="14" t="s">
        <v>49</v>
      </c>
      <c r="AF13" s="15" t="s">
        <v>50</v>
      </c>
      <c r="AG13" s="12" t="s">
        <v>63</v>
      </c>
      <c r="AH13" s="12"/>
      <c r="AI13" s="12"/>
      <c r="AJ13" s="12" t="s">
        <v>64</v>
      </c>
      <c r="AK13" s="12"/>
    </row>
    <row r="14" customFormat="false" ht="21.75" hidden="false" customHeight="true" outlineLevel="0" collapsed="false">
      <c r="A14" s="17" t="n">
        <v>12</v>
      </c>
      <c r="B14" s="18" t="s">
        <v>41</v>
      </c>
      <c r="C14" s="18" t="s">
        <v>80</v>
      </c>
      <c r="D14" s="19" t="s">
        <v>87</v>
      </c>
      <c r="E14" s="20" t="s">
        <v>66</v>
      </c>
      <c r="F14" s="19"/>
      <c r="G14" s="19"/>
      <c r="H14" s="19"/>
      <c r="I14" s="20"/>
      <c r="J14" s="19"/>
      <c r="K14" s="20" t="s">
        <v>47</v>
      </c>
      <c r="L14" s="20"/>
      <c r="M14" s="19" t="s">
        <v>48</v>
      </c>
      <c r="N14" s="14" t="s">
        <v>49</v>
      </c>
      <c r="O14" s="14" t="s">
        <v>49</v>
      </c>
      <c r="P14" s="15" t="s">
        <v>50</v>
      </c>
      <c r="Q14" s="14" t="s">
        <v>49</v>
      </c>
      <c r="R14" s="15" t="s">
        <v>50</v>
      </c>
      <c r="S14" s="20" t="s">
        <v>49</v>
      </c>
      <c r="T14" s="20" t="s">
        <v>49</v>
      </c>
      <c r="U14" s="20" t="s">
        <v>59</v>
      </c>
      <c r="V14" s="20" t="s">
        <v>53</v>
      </c>
      <c r="W14" s="20"/>
      <c r="X14" s="20"/>
      <c r="Y14" s="20"/>
      <c r="Z14" s="20"/>
      <c r="AA14" s="20"/>
      <c r="AB14" s="20"/>
      <c r="AC14" s="20"/>
      <c r="AD14" s="20"/>
      <c r="AE14" s="20"/>
      <c r="AF14" s="20"/>
      <c r="AG14" s="19" t="s">
        <v>68</v>
      </c>
      <c r="AH14" s="19" t="s">
        <v>55</v>
      </c>
      <c r="AI14" s="19"/>
      <c r="AJ14" s="19" t="s">
        <v>57</v>
      </c>
      <c r="AK14" s="19"/>
    </row>
    <row r="15" customFormat="false" ht="32.25" hidden="false" customHeight="true" outlineLevel="0" collapsed="false">
      <c r="A15" s="10" t="n">
        <v>13</v>
      </c>
      <c r="B15" s="11" t="s">
        <v>41</v>
      </c>
      <c r="C15" s="11" t="s">
        <v>80</v>
      </c>
      <c r="D15" s="12" t="s">
        <v>88</v>
      </c>
      <c r="E15" s="13" t="s">
        <v>44</v>
      </c>
      <c r="F15" s="12"/>
      <c r="G15" s="12"/>
      <c r="H15" s="12" t="s">
        <v>88</v>
      </c>
      <c r="I15" s="13" t="s">
        <v>89</v>
      </c>
      <c r="J15" s="12" t="s">
        <v>90</v>
      </c>
      <c r="K15" s="13" t="s">
        <v>47</v>
      </c>
      <c r="L15" s="13"/>
      <c r="M15" s="12" t="s">
        <v>48</v>
      </c>
      <c r="N15" s="15" t="s">
        <v>50</v>
      </c>
      <c r="O15" s="15" t="s">
        <v>50</v>
      </c>
      <c r="P15" s="16" t="s">
        <v>51</v>
      </c>
      <c r="Q15" s="15" t="s">
        <v>50</v>
      </c>
      <c r="R15" s="16" t="s">
        <v>51</v>
      </c>
      <c r="S15" s="13" t="s">
        <v>49</v>
      </c>
      <c r="T15" s="13" t="s">
        <v>49</v>
      </c>
      <c r="U15" s="13" t="s">
        <v>59</v>
      </c>
      <c r="V15" s="13" t="s">
        <v>60</v>
      </c>
      <c r="W15" s="14" t="s">
        <v>49</v>
      </c>
      <c r="X15" s="21" t="s">
        <v>61</v>
      </c>
      <c r="Y15" s="21" t="s">
        <v>61</v>
      </c>
      <c r="Z15" s="15" t="s">
        <v>50</v>
      </c>
      <c r="AA15" s="15" t="s">
        <v>50</v>
      </c>
      <c r="AB15" s="15" t="s">
        <v>50</v>
      </c>
      <c r="AC15" s="21" t="s">
        <v>61</v>
      </c>
      <c r="AD15" s="22" t="s">
        <v>62</v>
      </c>
      <c r="AE15" s="14" t="s">
        <v>49</v>
      </c>
      <c r="AF15" s="15" t="s">
        <v>50</v>
      </c>
      <c r="AG15" s="12" t="s">
        <v>63</v>
      </c>
      <c r="AH15" s="12" t="s">
        <v>55</v>
      </c>
      <c r="AI15" s="12"/>
      <c r="AJ15" s="12" t="s">
        <v>64</v>
      </c>
      <c r="AK15" s="12"/>
    </row>
    <row r="16" customFormat="false" ht="21.75" hidden="false" customHeight="true" outlineLevel="0" collapsed="false">
      <c r="A16" s="17" t="n">
        <v>14</v>
      </c>
      <c r="B16" s="18" t="s">
        <v>41</v>
      </c>
      <c r="C16" s="18" t="s">
        <v>80</v>
      </c>
      <c r="D16" s="19" t="s">
        <v>91</v>
      </c>
      <c r="E16" s="20" t="s">
        <v>44</v>
      </c>
      <c r="F16" s="19"/>
      <c r="G16" s="19"/>
      <c r="H16" s="19" t="s">
        <v>91</v>
      </c>
      <c r="I16" s="20" t="s">
        <v>92</v>
      </c>
      <c r="J16" s="19" t="s">
        <v>93</v>
      </c>
      <c r="K16" s="20" t="s">
        <v>47</v>
      </c>
      <c r="L16" s="20" t="s">
        <v>60</v>
      </c>
      <c r="M16" s="19" t="s">
        <v>48</v>
      </c>
      <c r="N16" s="15" t="s">
        <v>50</v>
      </c>
      <c r="O16" s="15" t="s">
        <v>50</v>
      </c>
      <c r="P16" s="16" t="s">
        <v>51</v>
      </c>
      <c r="Q16" s="15" t="s">
        <v>50</v>
      </c>
      <c r="R16" s="16" t="s">
        <v>51</v>
      </c>
      <c r="S16" s="20" t="s">
        <v>49</v>
      </c>
      <c r="T16" s="20" t="s">
        <v>49</v>
      </c>
      <c r="U16" s="20" t="s">
        <v>52</v>
      </c>
      <c r="V16" s="20" t="s">
        <v>53</v>
      </c>
      <c r="W16" s="20"/>
      <c r="X16" s="20"/>
      <c r="Y16" s="20"/>
      <c r="Z16" s="20"/>
      <c r="AA16" s="20"/>
      <c r="AB16" s="20"/>
      <c r="AC16" s="20"/>
      <c r="AD16" s="20"/>
      <c r="AE16" s="20"/>
      <c r="AF16" s="20"/>
      <c r="AG16" s="19" t="s">
        <v>94</v>
      </c>
      <c r="AH16" s="19" t="s">
        <v>55</v>
      </c>
      <c r="AI16" s="19"/>
      <c r="AJ16" s="19" t="s">
        <v>57</v>
      </c>
      <c r="AK16" s="19"/>
    </row>
    <row r="17" customFormat="false" ht="21.75" hidden="false" customHeight="true" outlineLevel="0" collapsed="false">
      <c r="A17" s="10" t="n">
        <v>15</v>
      </c>
      <c r="B17" s="11" t="s">
        <v>41</v>
      </c>
      <c r="C17" s="11" t="s">
        <v>80</v>
      </c>
      <c r="D17" s="12" t="s">
        <v>95</v>
      </c>
      <c r="E17" s="13" t="s">
        <v>44</v>
      </c>
      <c r="F17" s="12"/>
      <c r="G17" s="12"/>
      <c r="H17" s="12" t="s">
        <v>95</v>
      </c>
      <c r="I17" s="13" t="s">
        <v>96</v>
      </c>
      <c r="J17" s="12" t="s">
        <v>97</v>
      </c>
      <c r="K17" s="13" t="s">
        <v>47</v>
      </c>
      <c r="L17" s="13" t="s">
        <v>60</v>
      </c>
      <c r="M17" s="12" t="s">
        <v>48</v>
      </c>
      <c r="N17" s="14" t="s">
        <v>49</v>
      </c>
      <c r="O17" s="14" t="s">
        <v>49</v>
      </c>
      <c r="P17" s="15" t="s">
        <v>50</v>
      </c>
      <c r="Q17" s="14" t="s">
        <v>49</v>
      </c>
      <c r="R17" s="15" t="s">
        <v>50</v>
      </c>
      <c r="S17" s="13" t="s">
        <v>49</v>
      </c>
      <c r="T17" s="13" t="s">
        <v>49</v>
      </c>
      <c r="U17" s="13" t="s">
        <v>52</v>
      </c>
      <c r="V17" s="13" t="s">
        <v>53</v>
      </c>
      <c r="W17" s="13"/>
      <c r="X17" s="13"/>
      <c r="Y17" s="13"/>
      <c r="Z17" s="13"/>
      <c r="AA17" s="13"/>
      <c r="AB17" s="13"/>
      <c r="AC17" s="13"/>
      <c r="AD17" s="13"/>
      <c r="AE17" s="13"/>
      <c r="AF17" s="13"/>
      <c r="AG17" s="12" t="s">
        <v>94</v>
      </c>
      <c r="AH17" s="12" t="s">
        <v>55</v>
      </c>
      <c r="AI17" s="12"/>
      <c r="AJ17" s="12" t="s">
        <v>57</v>
      </c>
      <c r="AK17" s="12"/>
    </row>
    <row r="18" customFormat="false" ht="21.75" hidden="false" customHeight="true" outlineLevel="0" collapsed="false">
      <c r="A18" s="17" t="n">
        <v>16</v>
      </c>
      <c r="B18" s="18" t="s">
        <v>41</v>
      </c>
      <c r="C18" s="18" t="s">
        <v>80</v>
      </c>
      <c r="D18" s="19" t="s">
        <v>98</v>
      </c>
      <c r="E18" s="20" t="s">
        <v>66</v>
      </c>
      <c r="F18" s="19"/>
      <c r="G18" s="19"/>
      <c r="H18" s="19"/>
      <c r="I18" s="20"/>
      <c r="J18" s="19"/>
      <c r="K18" s="20" t="s">
        <v>47</v>
      </c>
      <c r="L18" s="20"/>
      <c r="M18" s="19" t="s">
        <v>48</v>
      </c>
      <c r="N18" s="14" t="s">
        <v>49</v>
      </c>
      <c r="O18" s="14" t="s">
        <v>49</v>
      </c>
      <c r="P18" s="15" t="s">
        <v>50</v>
      </c>
      <c r="Q18" s="14" t="s">
        <v>49</v>
      </c>
      <c r="R18" s="15" t="s">
        <v>50</v>
      </c>
      <c r="S18" s="20" t="s">
        <v>67</v>
      </c>
      <c r="T18" s="20" t="s">
        <v>67</v>
      </c>
      <c r="U18" s="20" t="s">
        <v>52</v>
      </c>
      <c r="V18" s="20" t="s">
        <v>53</v>
      </c>
      <c r="W18" s="20"/>
      <c r="X18" s="20"/>
      <c r="Y18" s="20"/>
      <c r="Z18" s="20"/>
      <c r="AA18" s="20"/>
      <c r="AB18" s="20"/>
      <c r="AC18" s="20"/>
      <c r="AD18" s="20"/>
      <c r="AE18" s="20"/>
      <c r="AF18" s="20"/>
      <c r="AG18" s="19" t="s">
        <v>54</v>
      </c>
      <c r="AH18" s="19"/>
      <c r="AI18" s="19" t="s">
        <v>99</v>
      </c>
      <c r="AJ18" s="19" t="s">
        <v>57</v>
      </c>
      <c r="AK18" s="19"/>
    </row>
    <row r="19" customFormat="false" ht="21.75" hidden="false" customHeight="true" outlineLevel="0" collapsed="false">
      <c r="A19" s="10" t="n">
        <v>17</v>
      </c>
      <c r="B19" s="11" t="s">
        <v>41</v>
      </c>
      <c r="C19" s="11" t="s">
        <v>80</v>
      </c>
      <c r="D19" s="12" t="s">
        <v>100</v>
      </c>
      <c r="E19" s="13" t="s">
        <v>66</v>
      </c>
      <c r="F19" s="12"/>
      <c r="G19" s="12"/>
      <c r="H19" s="12"/>
      <c r="I19" s="13"/>
      <c r="J19" s="12"/>
      <c r="K19" s="13" t="s">
        <v>47</v>
      </c>
      <c r="L19" s="13"/>
      <c r="M19" s="12" t="s">
        <v>48</v>
      </c>
      <c r="N19" s="14" t="s">
        <v>49</v>
      </c>
      <c r="O19" s="14" t="s">
        <v>49</v>
      </c>
      <c r="P19" s="15" t="s">
        <v>50</v>
      </c>
      <c r="Q19" s="14" t="s">
        <v>49</v>
      </c>
      <c r="R19" s="15" t="s">
        <v>50</v>
      </c>
      <c r="S19" s="13" t="s">
        <v>49</v>
      </c>
      <c r="T19" s="13" t="s">
        <v>49</v>
      </c>
      <c r="U19" s="13" t="s">
        <v>101</v>
      </c>
      <c r="V19" s="13" t="s">
        <v>53</v>
      </c>
      <c r="W19" s="13"/>
      <c r="X19" s="13"/>
      <c r="Y19" s="13"/>
      <c r="Z19" s="13"/>
      <c r="AA19" s="13"/>
      <c r="AB19" s="13"/>
      <c r="AC19" s="13"/>
      <c r="AD19" s="13"/>
      <c r="AE19" s="13"/>
      <c r="AF19" s="13"/>
      <c r="AG19" s="12" t="s">
        <v>94</v>
      </c>
      <c r="AH19" s="12"/>
      <c r="AI19" s="12"/>
      <c r="AJ19" s="12" t="s">
        <v>57</v>
      </c>
      <c r="AK19" s="12"/>
    </row>
    <row r="20" customFormat="false" ht="21.75" hidden="false" customHeight="true" outlineLevel="0" collapsed="false">
      <c r="A20" s="17" t="n">
        <v>18</v>
      </c>
      <c r="B20" s="18" t="s">
        <v>41</v>
      </c>
      <c r="C20" s="18" t="s">
        <v>80</v>
      </c>
      <c r="D20" s="19" t="s">
        <v>102</v>
      </c>
      <c r="E20" s="20" t="s">
        <v>66</v>
      </c>
      <c r="F20" s="19"/>
      <c r="G20" s="19"/>
      <c r="H20" s="19"/>
      <c r="I20" s="20"/>
      <c r="J20" s="19"/>
      <c r="K20" s="20" t="s">
        <v>47</v>
      </c>
      <c r="L20" s="20"/>
      <c r="M20" s="19" t="s">
        <v>48</v>
      </c>
      <c r="N20" s="14" t="s">
        <v>49</v>
      </c>
      <c r="O20" s="14" t="s">
        <v>49</v>
      </c>
      <c r="P20" s="14" t="s">
        <v>49</v>
      </c>
      <c r="Q20" s="14" t="s">
        <v>49</v>
      </c>
      <c r="R20" s="15" t="s">
        <v>50</v>
      </c>
      <c r="S20" s="20" t="s">
        <v>49</v>
      </c>
      <c r="T20" s="20" t="s">
        <v>49</v>
      </c>
      <c r="U20" s="20" t="s">
        <v>52</v>
      </c>
      <c r="V20" s="20" t="s">
        <v>53</v>
      </c>
      <c r="W20" s="20"/>
      <c r="X20" s="20"/>
      <c r="Y20" s="20"/>
      <c r="Z20" s="20"/>
      <c r="AA20" s="20"/>
      <c r="AB20" s="20"/>
      <c r="AC20" s="20"/>
      <c r="AD20" s="20"/>
      <c r="AE20" s="20"/>
      <c r="AF20" s="20"/>
      <c r="AG20" s="19" t="s">
        <v>54</v>
      </c>
      <c r="AH20" s="19"/>
      <c r="AI20" s="19" t="s">
        <v>99</v>
      </c>
      <c r="AJ20" s="19" t="s">
        <v>57</v>
      </c>
      <c r="AK20" s="19"/>
    </row>
    <row r="21" customFormat="false" ht="32.25" hidden="false" customHeight="true" outlineLevel="0" collapsed="false">
      <c r="A21" s="10" t="n">
        <v>19</v>
      </c>
      <c r="B21" s="11" t="s">
        <v>41</v>
      </c>
      <c r="C21" s="11" t="s">
        <v>80</v>
      </c>
      <c r="D21" s="12" t="s">
        <v>103</v>
      </c>
      <c r="E21" s="13" t="s">
        <v>66</v>
      </c>
      <c r="F21" s="12"/>
      <c r="G21" s="12"/>
      <c r="H21" s="12"/>
      <c r="I21" s="13"/>
      <c r="J21" s="12"/>
      <c r="K21" s="13" t="s">
        <v>47</v>
      </c>
      <c r="L21" s="13"/>
      <c r="M21" s="12" t="s">
        <v>79</v>
      </c>
      <c r="N21" s="15" t="s">
        <v>50</v>
      </c>
      <c r="O21" s="15" t="s">
        <v>50</v>
      </c>
      <c r="P21" s="16" t="s">
        <v>51</v>
      </c>
      <c r="Q21" s="15" t="s">
        <v>50</v>
      </c>
      <c r="R21" s="16" t="s">
        <v>51</v>
      </c>
      <c r="S21" s="13" t="s">
        <v>49</v>
      </c>
      <c r="T21" s="13" t="s">
        <v>49</v>
      </c>
      <c r="U21" s="13" t="s">
        <v>59</v>
      </c>
      <c r="V21" s="13" t="s">
        <v>60</v>
      </c>
      <c r="W21" s="14" t="s">
        <v>49</v>
      </c>
      <c r="X21" s="21" t="s">
        <v>61</v>
      </c>
      <c r="Y21" s="21" t="s">
        <v>61</v>
      </c>
      <c r="Z21" s="15" t="s">
        <v>50</v>
      </c>
      <c r="AA21" s="21" t="s">
        <v>61</v>
      </c>
      <c r="AB21" s="15" t="s">
        <v>50</v>
      </c>
      <c r="AC21" s="21" t="s">
        <v>61</v>
      </c>
      <c r="AD21" s="22" t="s">
        <v>62</v>
      </c>
      <c r="AE21" s="14" t="s">
        <v>49</v>
      </c>
      <c r="AF21" s="22" t="s">
        <v>62</v>
      </c>
      <c r="AG21" s="12" t="s">
        <v>63</v>
      </c>
      <c r="AH21" s="12"/>
      <c r="AI21" s="12"/>
      <c r="AJ21" s="12" t="s">
        <v>64</v>
      </c>
      <c r="AK21" s="12"/>
    </row>
    <row r="22" customFormat="false" ht="32.25" hidden="false" customHeight="true" outlineLevel="0" collapsed="false">
      <c r="A22" s="17" t="n">
        <v>20</v>
      </c>
      <c r="B22" s="18" t="s">
        <v>41</v>
      </c>
      <c r="C22" s="18" t="s">
        <v>104</v>
      </c>
      <c r="D22" s="19" t="s">
        <v>105</v>
      </c>
      <c r="E22" s="20" t="s">
        <v>44</v>
      </c>
      <c r="F22" s="19" t="s">
        <v>106</v>
      </c>
      <c r="G22" s="19"/>
      <c r="H22" s="19" t="s">
        <v>107</v>
      </c>
      <c r="I22" s="20" t="s">
        <v>108</v>
      </c>
      <c r="J22" s="19" t="s">
        <v>109</v>
      </c>
      <c r="K22" s="20" t="s">
        <v>47</v>
      </c>
      <c r="L22" s="20"/>
      <c r="M22" s="19" t="s">
        <v>79</v>
      </c>
      <c r="N22" s="14" t="s">
        <v>49</v>
      </c>
      <c r="O22" s="14" t="s">
        <v>49</v>
      </c>
      <c r="P22" s="15" t="s">
        <v>50</v>
      </c>
      <c r="Q22" s="15" t="s">
        <v>50</v>
      </c>
      <c r="R22" s="16" t="s">
        <v>51</v>
      </c>
      <c r="S22" s="20" t="s">
        <v>50</v>
      </c>
      <c r="T22" s="20" t="s">
        <v>50</v>
      </c>
      <c r="U22" s="20" t="s">
        <v>101</v>
      </c>
      <c r="V22" s="20" t="s">
        <v>53</v>
      </c>
      <c r="W22" s="20"/>
      <c r="X22" s="20"/>
      <c r="Y22" s="20"/>
      <c r="Z22" s="20"/>
      <c r="AA22" s="20"/>
      <c r="AB22" s="20"/>
      <c r="AC22" s="20"/>
      <c r="AD22" s="20"/>
      <c r="AE22" s="20"/>
      <c r="AF22" s="20"/>
      <c r="AG22" s="19" t="s">
        <v>94</v>
      </c>
      <c r="AH22" s="19"/>
      <c r="AI22" s="19"/>
      <c r="AJ22" s="19" t="s">
        <v>57</v>
      </c>
      <c r="AK22" s="19"/>
    </row>
    <row r="23" customFormat="false" ht="74.25" hidden="false" customHeight="true" outlineLevel="0" collapsed="false">
      <c r="A23" s="10" t="n">
        <v>21</v>
      </c>
      <c r="B23" s="11" t="s">
        <v>41</v>
      </c>
      <c r="C23" s="11" t="s">
        <v>104</v>
      </c>
      <c r="D23" s="12" t="s">
        <v>110</v>
      </c>
      <c r="E23" s="13" t="s">
        <v>44</v>
      </c>
      <c r="F23" s="12" t="s">
        <v>111</v>
      </c>
      <c r="G23" s="12"/>
      <c r="H23" s="12" t="s">
        <v>112</v>
      </c>
      <c r="I23" s="13" t="s">
        <v>113</v>
      </c>
      <c r="J23" s="12" t="s">
        <v>114</v>
      </c>
      <c r="K23" s="13" t="s">
        <v>47</v>
      </c>
      <c r="L23" s="13"/>
      <c r="M23" s="12" t="s">
        <v>79</v>
      </c>
      <c r="N23" s="15" t="s">
        <v>50</v>
      </c>
      <c r="O23" s="15" t="s">
        <v>50</v>
      </c>
      <c r="P23" s="16" t="s">
        <v>51</v>
      </c>
      <c r="Q23" s="15" t="s">
        <v>50</v>
      </c>
      <c r="R23" s="16" t="s">
        <v>51</v>
      </c>
      <c r="S23" s="13" t="s">
        <v>50</v>
      </c>
      <c r="T23" s="13" t="s">
        <v>50</v>
      </c>
      <c r="U23" s="13" t="s">
        <v>59</v>
      </c>
      <c r="V23" s="13" t="s">
        <v>60</v>
      </c>
      <c r="W23" s="14" t="s">
        <v>49</v>
      </c>
      <c r="X23" s="14" t="s">
        <v>49</v>
      </c>
      <c r="Y23" s="14" t="s">
        <v>49</v>
      </c>
      <c r="Z23" s="22" t="s">
        <v>62</v>
      </c>
      <c r="AA23" s="15" t="s">
        <v>50</v>
      </c>
      <c r="AB23" s="15" t="s">
        <v>50</v>
      </c>
      <c r="AC23" s="15" t="s">
        <v>50</v>
      </c>
      <c r="AD23" s="16" t="s">
        <v>51</v>
      </c>
      <c r="AE23" s="14" t="s">
        <v>49</v>
      </c>
      <c r="AF23" s="15" t="s">
        <v>50</v>
      </c>
      <c r="AG23" s="12" t="s">
        <v>63</v>
      </c>
      <c r="AH23" s="12"/>
      <c r="AI23" s="12"/>
      <c r="AJ23" s="12" t="s">
        <v>64</v>
      </c>
      <c r="AK23" s="12"/>
    </row>
    <row r="24" customFormat="false" ht="21.75" hidden="false" customHeight="true" outlineLevel="0" collapsed="false">
      <c r="A24" s="17" t="n">
        <v>22</v>
      </c>
      <c r="B24" s="18" t="s">
        <v>41</v>
      </c>
      <c r="C24" s="18" t="s">
        <v>104</v>
      </c>
      <c r="D24" s="19" t="s">
        <v>115</v>
      </c>
      <c r="E24" s="20" t="s">
        <v>66</v>
      </c>
      <c r="F24" s="19"/>
      <c r="G24" s="19"/>
      <c r="H24" s="19"/>
      <c r="I24" s="20"/>
      <c r="J24" s="19"/>
      <c r="K24" s="20" t="s">
        <v>47</v>
      </c>
      <c r="L24" s="20"/>
      <c r="M24" s="19" t="s">
        <v>79</v>
      </c>
      <c r="N24" s="14" t="s">
        <v>49</v>
      </c>
      <c r="O24" s="14" t="s">
        <v>49</v>
      </c>
      <c r="P24" s="15" t="s">
        <v>50</v>
      </c>
      <c r="Q24" s="15" t="s">
        <v>50</v>
      </c>
      <c r="R24" s="15" t="s">
        <v>50</v>
      </c>
      <c r="S24" s="20" t="s">
        <v>51</v>
      </c>
      <c r="T24" s="20" t="s">
        <v>50</v>
      </c>
      <c r="U24" s="20" t="s">
        <v>101</v>
      </c>
      <c r="V24" s="20" t="s">
        <v>53</v>
      </c>
      <c r="W24" s="20"/>
      <c r="X24" s="20"/>
      <c r="Y24" s="20"/>
      <c r="Z24" s="20"/>
      <c r="AA24" s="20"/>
      <c r="AB24" s="20"/>
      <c r="AC24" s="20"/>
      <c r="AD24" s="20"/>
      <c r="AE24" s="20"/>
      <c r="AF24" s="20"/>
      <c r="AG24" s="19" t="s">
        <v>94</v>
      </c>
      <c r="AH24" s="19"/>
      <c r="AI24" s="19"/>
      <c r="AJ24" s="19" t="s">
        <v>57</v>
      </c>
      <c r="AK24" s="19"/>
    </row>
    <row r="25" customFormat="false" ht="21.75" hidden="false" customHeight="true" outlineLevel="0" collapsed="false">
      <c r="A25" s="10" t="n">
        <v>23</v>
      </c>
      <c r="B25" s="11" t="s">
        <v>41</v>
      </c>
      <c r="C25" s="11" t="s">
        <v>104</v>
      </c>
      <c r="D25" s="12" t="s">
        <v>116</v>
      </c>
      <c r="E25" s="13" t="s">
        <v>66</v>
      </c>
      <c r="F25" s="12"/>
      <c r="G25" s="12"/>
      <c r="H25" s="12"/>
      <c r="I25" s="13"/>
      <c r="J25" s="12"/>
      <c r="K25" s="13" t="s">
        <v>47</v>
      </c>
      <c r="L25" s="13"/>
      <c r="M25" s="12" t="s">
        <v>79</v>
      </c>
      <c r="N25" s="14" t="s">
        <v>49</v>
      </c>
      <c r="O25" s="14" t="s">
        <v>49</v>
      </c>
      <c r="P25" s="15" t="s">
        <v>50</v>
      </c>
      <c r="Q25" s="15" t="s">
        <v>50</v>
      </c>
      <c r="R25" s="15" t="s">
        <v>50</v>
      </c>
      <c r="S25" s="13" t="s">
        <v>51</v>
      </c>
      <c r="T25" s="13" t="s">
        <v>50</v>
      </c>
      <c r="U25" s="13" t="s">
        <v>101</v>
      </c>
      <c r="V25" s="13" t="s">
        <v>53</v>
      </c>
      <c r="W25" s="13"/>
      <c r="X25" s="13"/>
      <c r="Y25" s="13"/>
      <c r="Z25" s="13"/>
      <c r="AA25" s="13"/>
      <c r="AB25" s="13"/>
      <c r="AC25" s="13"/>
      <c r="AD25" s="13"/>
      <c r="AE25" s="13"/>
      <c r="AF25" s="13"/>
      <c r="AG25" s="12" t="s">
        <v>94</v>
      </c>
      <c r="AH25" s="12"/>
      <c r="AI25" s="12"/>
      <c r="AJ25" s="12" t="s">
        <v>57</v>
      </c>
      <c r="AK25" s="12"/>
    </row>
    <row r="26" customFormat="false" ht="21.75" hidden="false" customHeight="true" outlineLevel="0" collapsed="false">
      <c r="A26" s="17" t="n">
        <v>24</v>
      </c>
      <c r="B26" s="18" t="s">
        <v>41</v>
      </c>
      <c r="C26" s="18" t="s">
        <v>104</v>
      </c>
      <c r="D26" s="19" t="s">
        <v>117</v>
      </c>
      <c r="E26" s="20" t="s">
        <v>66</v>
      </c>
      <c r="F26" s="19"/>
      <c r="G26" s="19"/>
      <c r="H26" s="19"/>
      <c r="I26" s="20"/>
      <c r="J26" s="19"/>
      <c r="K26" s="20" t="s">
        <v>47</v>
      </c>
      <c r="L26" s="20"/>
      <c r="M26" s="19" t="s">
        <v>79</v>
      </c>
      <c r="N26" s="14" t="s">
        <v>49</v>
      </c>
      <c r="O26" s="14" t="s">
        <v>49</v>
      </c>
      <c r="P26" s="15" t="s">
        <v>50</v>
      </c>
      <c r="Q26" s="14" t="s">
        <v>49</v>
      </c>
      <c r="R26" s="15" t="s">
        <v>50</v>
      </c>
      <c r="S26" s="20" t="s">
        <v>50</v>
      </c>
      <c r="T26" s="20" t="s">
        <v>49</v>
      </c>
      <c r="U26" s="20" t="s">
        <v>101</v>
      </c>
      <c r="V26" s="20" t="s">
        <v>53</v>
      </c>
      <c r="W26" s="20"/>
      <c r="X26" s="20"/>
      <c r="Y26" s="20"/>
      <c r="Z26" s="20"/>
      <c r="AA26" s="20"/>
      <c r="AB26" s="20"/>
      <c r="AC26" s="20"/>
      <c r="AD26" s="20"/>
      <c r="AE26" s="20"/>
      <c r="AF26" s="20"/>
      <c r="AG26" s="19" t="s">
        <v>94</v>
      </c>
      <c r="AH26" s="19"/>
      <c r="AI26" s="19"/>
      <c r="AJ26" s="19" t="s">
        <v>57</v>
      </c>
      <c r="AK26" s="19"/>
    </row>
    <row r="27" customFormat="false" ht="32.25" hidden="false" customHeight="true" outlineLevel="0" collapsed="false">
      <c r="A27" s="10" t="n">
        <v>25</v>
      </c>
      <c r="B27" s="11" t="s">
        <v>41</v>
      </c>
      <c r="C27" s="11" t="s">
        <v>104</v>
      </c>
      <c r="D27" s="12" t="s">
        <v>118</v>
      </c>
      <c r="E27" s="13" t="s">
        <v>66</v>
      </c>
      <c r="F27" s="12"/>
      <c r="G27" s="12"/>
      <c r="H27" s="12"/>
      <c r="I27" s="13"/>
      <c r="J27" s="12"/>
      <c r="K27" s="13" t="s">
        <v>47</v>
      </c>
      <c r="L27" s="13"/>
      <c r="M27" s="12" t="s">
        <v>79</v>
      </c>
      <c r="N27" s="15" t="s">
        <v>50</v>
      </c>
      <c r="O27" s="15" t="s">
        <v>50</v>
      </c>
      <c r="P27" s="16" t="s">
        <v>51</v>
      </c>
      <c r="Q27" s="15" t="s">
        <v>50</v>
      </c>
      <c r="R27" s="16" t="s">
        <v>51</v>
      </c>
      <c r="S27" s="13" t="s">
        <v>49</v>
      </c>
      <c r="T27" s="13" t="s">
        <v>49</v>
      </c>
      <c r="U27" s="13" t="s">
        <v>59</v>
      </c>
      <c r="V27" s="13" t="s">
        <v>60</v>
      </c>
      <c r="W27" s="14" t="s">
        <v>49</v>
      </c>
      <c r="X27" s="21" t="s">
        <v>61</v>
      </c>
      <c r="Y27" s="21" t="s">
        <v>61</v>
      </c>
      <c r="Z27" s="22" t="s">
        <v>62</v>
      </c>
      <c r="AA27" s="15" t="s">
        <v>50</v>
      </c>
      <c r="AB27" s="15" t="s">
        <v>50</v>
      </c>
      <c r="AC27" s="21" t="s">
        <v>61</v>
      </c>
      <c r="AD27" s="22" t="s">
        <v>62</v>
      </c>
      <c r="AE27" s="14" t="s">
        <v>49</v>
      </c>
      <c r="AF27" s="15" t="s">
        <v>50</v>
      </c>
      <c r="AG27" s="12" t="s">
        <v>63</v>
      </c>
      <c r="AH27" s="12" t="s">
        <v>72</v>
      </c>
      <c r="AI27" s="12"/>
      <c r="AJ27" s="12" t="s">
        <v>64</v>
      </c>
      <c r="AK27" s="12"/>
    </row>
    <row r="28" customFormat="false" ht="21.75" hidden="false" customHeight="true" outlineLevel="0" collapsed="false">
      <c r="A28" s="17" t="n">
        <v>26</v>
      </c>
      <c r="B28" s="18" t="s">
        <v>41</v>
      </c>
      <c r="C28" s="18" t="s">
        <v>104</v>
      </c>
      <c r="D28" s="19" t="s">
        <v>119</v>
      </c>
      <c r="E28" s="20" t="s">
        <v>66</v>
      </c>
      <c r="F28" s="19"/>
      <c r="G28" s="19"/>
      <c r="H28" s="19"/>
      <c r="I28" s="20"/>
      <c r="J28" s="19"/>
      <c r="K28" s="20" t="s">
        <v>47</v>
      </c>
      <c r="L28" s="20"/>
      <c r="M28" s="19" t="s">
        <v>79</v>
      </c>
      <c r="N28" s="14" t="s">
        <v>49</v>
      </c>
      <c r="O28" s="14" t="s">
        <v>49</v>
      </c>
      <c r="P28" s="15" t="s">
        <v>50</v>
      </c>
      <c r="Q28" s="14" t="s">
        <v>49</v>
      </c>
      <c r="R28" s="15" t="s">
        <v>50</v>
      </c>
      <c r="S28" s="20" t="s">
        <v>51</v>
      </c>
      <c r="T28" s="20" t="s">
        <v>50</v>
      </c>
      <c r="U28" s="20" t="s">
        <v>101</v>
      </c>
      <c r="V28" s="20" t="s">
        <v>53</v>
      </c>
      <c r="W28" s="20"/>
      <c r="X28" s="20"/>
      <c r="Y28" s="20"/>
      <c r="Z28" s="20"/>
      <c r="AA28" s="20"/>
      <c r="AB28" s="20"/>
      <c r="AC28" s="20"/>
      <c r="AD28" s="20"/>
      <c r="AE28" s="20"/>
      <c r="AF28" s="20"/>
      <c r="AG28" s="19" t="s">
        <v>94</v>
      </c>
      <c r="AH28" s="19" t="s">
        <v>72</v>
      </c>
      <c r="AI28" s="19"/>
      <c r="AJ28" s="19" t="s">
        <v>57</v>
      </c>
      <c r="AK28" s="19"/>
    </row>
    <row r="29" customFormat="false" ht="32.25" hidden="false" customHeight="true" outlineLevel="0" collapsed="false">
      <c r="A29" s="10" t="n">
        <v>27</v>
      </c>
      <c r="B29" s="11" t="s">
        <v>41</v>
      </c>
      <c r="C29" s="11" t="s">
        <v>120</v>
      </c>
      <c r="D29" s="12" t="s">
        <v>121</v>
      </c>
      <c r="E29" s="13" t="s">
        <v>44</v>
      </c>
      <c r="F29" s="12" t="s">
        <v>122</v>
      </c>
      <c r="G29" s="12"/>
      <c r="H29" s="12" t="s">
        <v>123</v>
      </c>
      <c r="I29" s="13" t="s">
        <v>124</v>
      </c>
      <c r="J29" s="12" t="s">
        <v>125</v>
      </c>
      <c r="K29" s="13" t="s">
        <v>47</v>
      </c>
      <c r="L29" s="13"/>
      <c r="M29" s="12" t="s">
        <v>79</v>
      </c>
      <c r="N29" s="15" t="s">
        <v>50</v>
      </c>
      <c r="O29" s="15" t="s">
        <v>50</v>
      </c>
      <c r="P29" s="16" t="s">
        <v>51</v>
      </c>
      <c r="Q29" s="15" t="s">
        <v>50</v>
      </c>
      <c r="R29" s="16" t="s">
        <v>51</v>
      </c>
      <c r="S29" s="13" t="s">
        <v>50</v>
      </c>
      <c r="T29" s="13" t="s">
        <v>50</v>
      </c>
      <c r="U29" s="13" t="s">
        <v>76</v>
      </c>
      <c r="V29" s="13" t="s">
        <v>60</v>
      </c>
      <c r="W29" s="14" t="s">
        <v>49</v>
      </c>
      <c r="X29" s="15" t="s">
        <v>50</v>
      </c>
      <c r="Y29" s="21" t="s">
        <v>61</v>
      </c>
      <c r="Z29" s="15" t="s">
        <v>50</v>
      </c>
      <c r="AA29" s="21" t="s">
        <v>61</v>
      </c>
      <c r="AB29" s="15" t="s">
        <v>50</v>
      </c>
      <c r="AC29" s="14" t="s">
        <v>49</v>
      </c>
      <c r="AD29" s="22" t="s">
        <v>62</v>
      </c>
      <c r="AE29" s="14" t="s">
        <v>49</v>
      </c>
      <c r="AF29" s="22" t="s">
        <v>62</v>
      </c>
      <c r="AG29" s="12" t="s">
        <v>63</v>
      </c>
      <c r="AH29" s="12"/>
      <c r="AI29" s="12"/>
      <c r="AJ29" s="12" t="s">
        <v>64</v>
      </c>
      <c r="AK29" s="12"/>
    </row>
    <row r="30" customFormat="false" ht="32.25" hidden="false" customHeight="true" outlineLevel="0" collapsed="false">
      <c r="A30" s="17" t="n">
        <v>28</v>
      </c>
      <c r="B30" s="18" t="s">
        <v>41</v>
      </c>
      <c r="C30" s="18" t="s">
        <v>120</v>
      </c>
      <c r="D30" s="19" t="s">
        <v>126</v>
      </c>
      <c r="E30" s="20" t="s">
        <v>44</v>
      </c>
      <c r="F30" s="19" t="s">
        <v>127</v>
      </c>
      <c r="G30" s="19"/>
      <c r="H30" s="19" t="s">
        <v>128</v>
      </c>
      <c r="I30" s="20" t="s">
        <v>129</v>
      </c>
      <c r="J30" s="19" t="s">
        <v>130</v>
      </c>
      <c r="K30" s="20" t="s">
        <v>47</v>
      </c>
      <c r="L30" s="20"/>
      <c r="M30" s="19" t="s">
        <v>79</v>
      </c>
      <c r="N30" s="15" t="s">
        <v>50</v>
      </c>
      <c r="O30" s="15" t="s">
        <v>50</v>
      </c>
      <c r="P30" s="16" t="s">
        <v>51</v>
      </c>
      <c r="Q30" s="15" t="s">
        <v>50</v>
      </c>
      <c r="R30" s="16" t="s">
        <v>51</v>
      </c>
      <c r="S30" s="20" t="s">
        <v>50</v>
      </c>
      <c r="T30" s="20" t="s">
        <v>49</v>
      </c>
      <c r="U30" s="20" t="s">
        <v>76</v>
      </c>
      <c r="V30" s="20" t="s">
        <v>60</v>
      </c>
      <c r="W30" s="14" t="s">
        <v>49</v>
      </c>
      <c r="X30" s="21" t="s">
        <v>61</v>
      </c>
      <c r="Y30" s="21" t="s">
        <v>61</v>
      </c>
      <c r="Z30" s="15" t="s">
        <v>50</v>
      </c>
      <c r="AA30" s="21" t="s">
        <v>61</v>
      </c>
      <c r="AB30" s="15" t="s">
        <v>50</v>
      </c>
      <c r="AC30" s="21" t="s">
        <v>61</v>
      </c>
      <c r="AD30" s="22" t="s">
        <v>62</v>
      </c>
      <c r="AE30" s="14" t="s">
        <v>49</v>
      </c>
      <c r="AF30" s="22" t="s">
        <v>62</v>
      </c>
      <c r="AG30" s="19" t="s">
        <v>63</v>
      </c>
      <c r="AH30" s="19"/>
      <c r="AI30" s="19"/>
      <c r="AJ30" s="19" t="s">
        <v>64</v>
      </c>
      <c r="AK30" s="19"/>
    </row>
    <row r="31" customFormat="false" ht="21.75" hidden="false" customHeight="true" outlineLevel="0" collapsed="false">
      <c r="A31" s="10" t="n">
        <v>29</v>
      </c>
      <c r="B31" s="11" t="s">
        <v>41</v>
      </c>
      <c r="C31" s="11" t="s">
        <v>120</v>
      </c>
      <c r="D31" s="12" t="s">
        <v>131</v>
      </c>
      <c r="E31" s="13" t="s">
        <v>66</v>
      </c>
      <c r="F31" s="12"/>
      <c r="G31" s="12"/>
      <c r="H31" s="12"/>
      <c r="I31" s="13"/>
      <c r="J31" s="12"/>
      <c r="K31" s="13" t="s">
        <v>47</v>
      </c>
      <c r="L31" s="13"/>
      <c r="M31" s="12" t="s">
        <v>79</v>
      </c>
      <c r="N31" s="15" t="s">
        <v>50</v>
      </c>
      <c r="O31" s="15" t="s">
        <v>50</v>
      </c>
      <c r="P31" s="15" t="s">
        <v>50</v>
      </c>
      <c r="Q31" s="15" t="s">
        <v>50</v>
      </c>
      <c r="R31" s="15" t="s">
        <v>50</v>
      </c>
      <c r="S31" s="13" t="s">
        <v>50</v>
      </c>
      <c r="T31" s="13" t="s">
        <v>49</v>
      </c>
      <c r="U31" s="13" t="s">
        <v>76</v>
      </c>
      <c r="V31" s="13" t="s">
        <v>53</v>
      </c>
      <c r="W31" s="13"/>
      <c r="X31" s="13"/>
      <c r="Y31" s="13"/>
      <c r="Z31" s="13"/>
      <c r="AA31" s="13"/>
      <c r="AB31" s="13"/>
      <c r="AC31" s="13"/>
      <c r="AD31" s="13"/>
      <c r="AE31" s="13"/>
      <c r="AF31" s="13"/>
      <c r="AG31" s="12" t="s">
        <v>68</v>
      </c>
      <c r="AH31" s="12"/>
      <c r="AI31" s="12"/>
      <c r="AJ31" s="12" t="s">
        <v>57</v>
      </c>
      <c r="AK31" s="12"/>
    </row>
    <row r="32" customFormat="false" ht="32.25" hidden="false" customHeight="true" outlineLevel="0" collapsed="false">
      <c r="A32" s="17" t="n">
        <v>30</v>
      </c>
      <c r="B32" s="18" t="s">
        <v>41</v>
      </c>
      <c r="C32" s="18" t="s">
        <v>120</v>
      </c>
      <c r="D32" s="19" t="s">
        <v>132</v>
      </c>
      <c r="E32" s="20" t="s">
        <v>66</v>
      </c>
      <c r="F32" s="19"/>
      <c r="G32" s="19"/>
      <c r="H32" s="19"/>
      <c r="I32" s="20"/>
      <c r="J32" s="19"/>
      <c r="K32" s="20" t="s">
        <v>47</v>
      </c>
      <c r="L32" s="20"/>
      <c r="M32" s="19" t="s">
        <v>79</v>
      </c>
      <c r="N32" s="14" t="s">
        <v>49</v>
      </c>
      <c r="O32" s="14" t="s">
        <v>49</v>
      </c>
      <c r="P32" s="15" t="s">
        <v>50</v>
      </c>
      <c r="Q32" s="15" t="s">
        <v>50</v>
      </c>
      <c r="R32" s="16" t="s">
        <v>51</v>
      </c>
      <c r="S32" s="20" t="s">
        <v>50</v>
      </c>
      <c r="T32" s="20" t="s">
        <v>49</v>
      </c>
      <c r="U32" s="20" t="s">
        <v>76</v>
      </c>
      <c r="V32" s="20" t="s">
        <v>60</v>
      </c>
      <c r="W32" s="21" t="s">
        <v>61</v>
      </c>
      <c r="X32" s="21" t="s">
        <v>61</v>
      </c>
      <c r="Y32" s="14" t="s">
        <v>49</v>
      </c>
      <c r="Z32" s="15" t="s">
        <v>50</v>
      </c>
      <c r="AA32" s="21" t="s">
        <v>61</v>
      </c>
      <c r="AB32" s="14" t="s">
        <v>49</v>
      </c>
      <c r="AC32" s="14" t="s">
        <v>49</v>
      </c>
      <c r="AD32" s="15" t="s">
        <v>50</v>
      </c>
      <c r="AE32" s="14" t="s">
        <v>49</v>
      </c>
      <c r="AF32" s="21" t="s">
        <v>61</v>
      </c>
      <c r="AG32" s="19" t="s">
        <v>63</v>
      </c>
      <c r="AH32" s="19"/>
      <c r="AI32" s="19"/>
      <c r="AJ32" s="19" t="s">
        <v>64</v>
      </c>
      <c r="AK32" s="19"/>
    </row>
    <row r="33" customFormat="false" ht="32.25" hidden="false" customHeight="true" outlineLevel="0" collapsed="false">
      <c r="A33" s="10" t="n">
        <v>31</v>
      </c>
      <c r="B33" s="11" t="s">
        <v>41</v>
      </c>
      <c r="C33" s="11" t="s">
        <v>120</v>
      </c>
      <c r="D33" s="12" t="s">
        <v>133</v>
      </c>
      <c r="E33" s="13" t="s">
        <v>66</v>
      </c>
      <c r="F33" s="12"/>
      <c r="G33" s="12"/>
      <c r="H33" s="12"/>
      <c r="I33" s="13"/>
      <c r="J33" s="12"/>
      <c r="K33" s="13" t="s">
        <v>47</v>
      </c>
      <c r="L33" s="13"/>
      <c r="M33" s="12" t="s">
        <v>79</v>
      </c>
      <c r="N33" s="15" t="s">
        <v>50</v>
      </c>
      <c r="O33" s="15" t="s">
        <v>50</v>
      </c>
      <c r="P33" s="16" t="s">
        <v>51</v>
      </c>
      <c r="Q33" s="15" t="s">
        <v>50</v>
      </c>
      <c r="R33" s="16" t="s">
        <v>51</v>
      </c>
      <c r="S33" s="13" t="s">
        <v>50</v>
      </c>
      <c r="T33" s="13" t="s">
        <v>49</v>
      </c>
      <c r="U33" s="13" t="s">
        <v>59</v>
      </c>
      <c r="V33" s="13" t="s">
        <v>60</v>
      </c>
      <c r="W33" s="14" t="s">
        <v>49</v>
      </c>
      <c r="X33" s="15" t="s">
        <v>50</v>
      </c>
      <c r="Y33" s="21" t="s">
        <v>61</v>
      </c>
      <c r="Z33" s="15" t="s">
        <v>50</v>
      </c>
      <c r="AA33" s="21" t="s">
        <v>61</v>
      </c>
      <c r="AB33" s="15" t="s">
        <v>50</v>
      </c>
      <c r="AC33" s="14" t="s">
        <v>49</v>
      </c>
      <c r="AD33" s="22" t="s">
        <v>62</v>
      </c>
      <c r="AE33" s="14" t="s">
        <v>49</v>
      </c>
      <c r="AF33" s="22" t="s">
        <v>62</v>
      </c>
      <c r="AG33" s="12" t="s">
        <v>63</v>
      </c>
      <c r="AH33" s="12" t="s">
        <v>72</v>
      </c>
      <c r="AI33" s="12"/>
      <c r="AJ33" s="12" t="s">
        <v>64</v>
      </c>
      <c r="AK33" s="12"/>
    </row>
    <row r="34" customFormat="false" ht="21.75" hidden="false" customHeight="true" outlineLevel="0" collapsed="false">
      <c r="A34" s="17" t="n">
        <v>32</v>
      </c>
      <c r="B34" s="18" t="s">
        <v>41</v>
      </c>
      <c r="C34" s="18" t="s">
        <v>120</v>
      </c>
      <c r="D34" s="19" t="s">
        <v>134</v>
      </c>
      <c r="E34" s="20" t="s">
        <v>66</v>
      </c>
      <c r="F34" s="19"/>
      <c r="G34" s="19"/>
      <c r="H34" s="19"/>
      <c r="I34" s="20"/>
      <c r="J34" s="19"/>
      <c r="K34" s="20" t="s">
        <v>47</v>
      </c>
      <c r="L34" s="20"/>
      <c r="M34" s="19" t="s">
        <v>79</v>
      </c>
      <c r="N34" s="14" t="s">
        <v>49</v>
      </c>
      <c r="O34" s="14" t="s">
        <v>49</v>
      </c>
      <c r="P34" s="15" t="s">
        <v>50</v>
      </c>
      <c r="Q34" s="14" t="s">
        <v>49</v>
      </c>
      <c r="R34" s="15" t="s">
        <v>50</v>
      </c>
      <c r="S34" s="20" t="s">
        <v>50</v>
      </c>
      <c r="T34" s="20" t="s">
        <v>49</v>
      </c>
      <c r="U34" s="20" t="s">
        <v>76</v>
      </c>
      <c r="V34" s="20" t="s">
        <v>53</v>
      </c>
      <c r="W34" s="20"/>
      <c r="X34" s="20"/>
      <c r="Y34" s="20"/>
      <c r="Z34" s="20"/>
      <c r="AA34" s="20"/>
      <c r="AB34" s="20"/>
      <c r="AC34" s="20"/>
      <c r="AD34" s="20"/>
      <c r="AE34" s="20"/>
      <c r="AF34" s="20"/>
      <c r="AG34" s="19" t="s">
        <v>68</v>
      </c>
      <c r="AH34" s="19"/>
      <c r="AI34" s="19"/>
      <c r="AJ34" s="19" t="s">
        <v>57</v>
      </c>
      <c r="AK34" s="19"/>
    </row>
    <row r="35" customFormat="false" ht="32.25" hidden="false" customHeight="true" outlineLevel="0" collapsed="false">
      <c r="A35" s="10" t="n">
        <v>33</v>
      </c>
      <c r="B35" s="11" t="s">
        <v>135</v>
      </c>
      <c r="C35" s="11" t="s">
        <v>136</v>
      </c>
      <c r="D35" s="12" t="s">
        <v>137</v>
      </c>
      <c r="E35" s="13" t="s">
        <v>44</v>
      </c>
      <c r="F35" s="12" t="s">
        <v>138</v>
      </c>
      <c r="G35" s="12"/>
      <c r="H35" s="12"/>
      <c r="I35" s="13"/>
      <c r="J35" s="12"/>
      <c r="K35" s="13" t="s">
        <v>47</v>
      </c>
      <c r="L35" s="13"/>
      <c r="M35" s="12" t="s">
        <v>79</v>
      </c>
      <c r="N35" s="15" t="s">
        <v>50</v>
      </c>
      <c r="O35" s="16" t="s">
        <v>51</v>
      </c>
      <c r="P35" s="16" t="s">
        <v>51</v>
      </c>
      <c r="Q35" s="15" t="s">
        <v>50</v>
      </c>
      <c r="R35" s="16" t="s">
        <v>51</v>
      </c>
      <c r="S35" s="13" t="s">
        <v>51</v>
      </c>
      <c r="T35" s="13" t="s">
        <v>67</v>
      </c>
      <c r="U35" s="13" t="s">
        <v>101</v>
      </c>
      <c r="V35" s="13" t="s">
        <v>60</v>
      </c>
      <c r="W35" s="14" t="s">
        <v>49</v>
      </c>
      <c r="X35" s="14" t="s">
        <v>49</v>
      </c>
      <c r="Y35" s="14" t="s">
        <v>49</v>
      </c>
      <c r="Z35" s="15" t="s">
        <v>50</v>
      </c>
      <c r="AA35" s="21" t="s">
        <v>61</v>
      </c>
      <c r="AB35" s="15" t="s">
        <v>50</v>
      </c>
      <c r="AC35" s="16" t="s">
        <v>51</v>
      </c>
      <c r="AD35" s="16" t="s">
        <v>51</v>
      </c>
      <c r="AE35" s="15" t="s">
        <v>50</v>
      </c>
      <c r="AF35" s="22" t="s">
        <v>62</v>
      </c>
      <c r="AG35" s="12" t="s">
        <v>68</v>
      </c>
      <c r="AH35" s="12"/>
      <c r="AI35" s="12"/>
      <c r="AJ35" s="12" t="s">
        <v>64</v>
      </c>
      <c r="AK35" s="12"/>
    </row>
    <row r="36" customFormat="false" ht="21.75" hidden="false" customHeight="true" outlineLevel="0" collapsed="false">
      <c r="A36" s="17" t="n">
        <v>34</v>
      </c>
      <c r="B36" s="18" t="s">
        <v>135</v>
      </c>
      <c r="C36" s="18" t="s">
        <v>136</v>
      </c>
      <c r="D36" s="19" t="s">
        <v>139</v>
      </c>
      <c r="E36" s="20" t="s">
        <v>44</v>
      </c>
      <c r="F36" s="19" t="s">
        <v>140</v>
      </c>
      <c r="G36" s="19"/>
      <c r="H36" s="19" t="s">
        <v>141</v>
      </c>
      <c r="I36" s="20" t="s">
        <v>142</v>
      </c>
      <c r="J36" s="19" t="s">
        <v>143</v>
      </c>
      <c r="K36" s="20" t="s">
        <v>47</v>
      </c>
      <c r="L36" s="20"/>
      <c r="M36" s="19" t="s">
        <v>79</v>
      </c>
      <c r="N36" s="14" t="s">
        <v>49</v>
      </c>
      <c r="O36" s="15" t="s">
        <v>50</v>
      </c>
      <c r="P36" s="15" t="s">
        <v>50</v>
      </c>
      <c r="Q36" s="15" t="s">
        <v>50</v>
      </c>
      <c r="R36" s="15" t="s">
        <v>50</v>
      </c>
      <c r="S36" s="20" t="s">
        <v>50</v>
      </c>
      <c r="T36" s="20" t="s">
        <v>49</v>
      </c>
      <c r="U36" s="20" t="s">
        <v>101</v>
      </c>
      <c r="V36" s="20" t="s">
        <v>53</v>
      </c>
      <c r="W36" s="20"/>
      <c r="X36" s="20"/>
      <c r="Y36" s="20"/>
      <c r="Z36" s="20"/>
      <c r="AA36" s="20"/>
      <c r="AB36" s="20"/>
      <c r="AC36" s="20"/>
      <c r="AD36" s="20"/>
      <c r="AE36" s="20"/>
      <c r="AF36" s="20"/>
      <c r="AG36" s="19" t="s">
        <v>94</v>
      </c>
      <c r="AH36" s="19"/>
      <c r="AI36" s="19"/>
      <c r="AJ36" s="19" t="s">
        <v>57</v>
      </c>
      <c r="AK36" s="19"/>
    </row>
    <row r="37" customFormat="false" ht="32.25" hidden="false" customHeight="true" outlineLevel="0" collapsed="false">
      <c r="A37" s="10" t="n">
        <v>35</v>
      </c>
      <c r="B37" s="11" t="s">
        <v>135</v>
      </c>
      <c r="C37" s="11" t="s">
        <v>136</v>
      </c>
      <c r="D37" s="12" t="s">
        <v>144</v>
      </c>
      <c r="E37" s="13" t="s">
        <v>44</v>
      </c>
      <c r="F37" s="12" t="s">
        <v>145</v>
      </c>
      <c r="G37" s="12"/>
      <c r="H37" s="12" t="s">
        <v>146</v>
      </c>
      <c r="I37" s="13" t="s">
        <v>147</v>
      </c>
      <c r="J37" s="12" t="s">
        <v>148</v>
      </c>
      <c r="K37" s="13" t="s">
        <v>47</v>
      </c>
      <c r="L37" s="13"/>
      <c r="M37" s="12" t="s">
        <v>79</v>
      </c>
      <c r="N37" s="14" t="s">
        <v>49</v>
      </c>
      <c r="O37" s="15" t="s">
        <v>50</v>
      </c>
      <c r="P37" s="16" t="s">
        <v>51</v>
      </c>
      <c r="Q37" s="15" t="s">
        <v>50</v>
      </c>
      <c r="R37" s="16" t="s">
        <v>51</v>
      </c>
      <c r="S37" s="13" t="s">
        <v>51</v>
      </c>
      <c r="T37" s="13" t="s">
        <v>49</v>
      </c>
      <c r="U37" s="13" t="s">
        <v>59</v>
      </c>
      <c r="V37" s="13" t="s">
        <v>60</v>
      </c>
      <c r="W37" s="21" t="s">
        <v>61</v>
      </c>
      <c r="X37" s="21" t="s">
        <v>61</v>
      </c>
      <c r="Y37" s="21" t="s">
        <v>61</v>
      </c>
      <c r="Z37" s="15" t="s">
        <v>50</v>
      </c>
      <c r="AA37" s="21" t="s">
        <v>61</v>
      </c>
      <c r="AB37" s="14" t="s">
        <v>49</v>
      </c>
      <c r="AC37" s="21" t="s">
        <v>61</v>
      </c>
      <c r="AD37" s="22" t="s">
        <v>62</v>
      </c>
      <c r="AE37" s="14" t="s">
        <v>49</v>
      </c>
      <c r="AF37" s="22" t="s">
        <v>62</v>
      </c>
      <c r="AG37" s="12" t="s">
        <v>63</v>
      </c>
      <c r="AH37" s="12"/>
      <c r="AI37" s="12"/>
      <c r="AJ37" s="12" t="s">
        <v>64</v>
      </c>
      <c r="AK37" s="12"/>
    </row>
    <row r="38" customFormat="false" ht="21.75" hidden="false" customHeight="true" outlineLevel="0" collapsed="false">
      <c r="A38" s="17" t="n">
        <v>36</v>
      </c>
      <c r="B38" s="18" t="s">
        <v>135</v>
      </c>
      <c r="C38" s="18" t="s">
        <v>136</v>
      </c>
      <c r="D38" s="19" t="s">
        <v>126</v>
      </c>
      <c r="E38" s="20" t="s">
        <v>66</v>
      </c>
      <c r="F38" s="19"/>
      <c r="G38" s="19"/>
      <c r="H38" s="19"/>
      <c r="I38" s="20"/>
      <c r="J38" s="19"/>
      <c r="K38" s="20" t="s">
        <v>47</v>
      </c>
      <c r="L38" s="20"/>
      <c r="M38" s="19" t="s">
        <v>79</v>
      </c>
      <c r="N38" s="14" t="s">
        <v>49</v>
      </c>
      <c r="O38" s="14" t="s">
        <v>49</v>
      </c>
      <c r="P38" s="15" t="s">
        <v>50</v>
      </c>
      <c r="Q38" s="15" t="s">
        <v>50</v>
      </c>
      <c r="R38" s="16" t="s">
        <v>51</v>
      </c>
      <c r="S38" s="20" t="s">
        <v>50</v>
      </c>
      <c r="T38" s="20" t="s">
        <v>67</v>
      </c>
      <c r="U38" s="20" t="s">
        <v>101</v>
      </c>
      <c r="V38" s="20" t="s">
        <v>53</v>
      </c>
      <c r="W38" s="20"/>
      <c r="X38" s="20"/>
      <c r="Y38" s="20"/>
      <c r="Z38" s="20"/>
      <c r="AA38" s="20"/>
      <c r="AB38" s="20"/>
      <c r="AC38" s="20"/>
      <c r="AD38" s="20"/>
      <c r="AE38" s="20"/>
      <c r="AF38" s="20"/>
      <c r="AG38" s="19" t="s">
        <v>94</v>
      </c>
      <c r="AH38" s="19"/>
      <c r="AI38" s="19"/>
      <c r="AJ38" s="19" t="s">
        <v>57</v>
      </c>
      <c r="AK38" s="19"/>
    </row>
    <row r="39" customFormat="false" ht="21.75" hidden="false" customHeight="true" outlineLevel="0" collapsed="false">
      <c r="A39" s="10" t="n">
        <v>37</v>
      </c>
      <c r="B39" s="11" t="s">
        <v>135</v>
      </c>
      <c r="C39" s="11" t="s">
        <v>136</v>
      </c>
      <c r="D39" s="12" t="s">
        <v>149</v>
      </c>
      <c r="E39" s="13" t="s">
        <v>66</v>
      </c>
      <c r="F39" s="12"/>
      <c r="G39" s="12"/>
      <c r="H39" s="12"/>
      <c r="I39" s="13"/>
      <c r="J39" s="12"/>
      <c r="K39" s="13" t="s">
        <v>47</v>
      </c>
      <c r="L39" s="13"/>
      <c r="M39" s="12" t="s">
        <v>79</v>
      </c>
      <c r="N39" s="14" t="s">
        <v>49</v>
      </c>
      <c r="O39" s="14" t="s">
        <v>49</v>
      </c>
      <c r="P39" s="15" t="s">
        <v>50</v>
      </c>
      <c r="Q39" s="15" t="s">
        <v>50</v>
      </c>
      <c r="R39" s="15" t="s">
        <v>50</v>
      </c>
      <c r="S39" s="13" t="s">
        <v>50</v>
      </c>
      <c r="T39" s="13" t="s">
        <v>49</v>
      </c>
      <c r="U39" s="13" t="s">
        <v>101</v>
      </c>
      <c r="V39" s="13" t="s">
        <v>53</v>
      </c>
      <c r="W39" s="13"/>
      <c r="X39" s="13"/>
      <c r="Y39" s="13"/>
      <c r="Z39" s="13"/>
      <c r="AA39" s="13"/>
      <c r="AB39" s="13"/>
      <c r="AC39" s="13"/>
      <c r="AD39" s="13"/>
      <c r="AE39" s="13"/>
      <c r="AF39" s="13"/>
      <c r="AG39" s="12" t="s">
        <v>94</v>
      </c>
      <c r="AH39" s="12"/>
      <c r="AI39" s="12"/>
      <c r="AJ39" s="12" t="s">
        <v>57</v>
      </c>
      <c r="AK39" s="12"/>
    </row>
    <row r="40" customFormat="false" ht="21.75" hidden="false" customHeight="true" outlineLevel="0" collapsed="false">
      <c r="A40" s="17" t="n">
        <v>38</v>
      </c>
      <c r="B40" s="18" t="s">
        <v>135</v>
      </c>
      <c r="C40" s="18" t="s">
        <v>150</v>
      </c>
      <c r="D40" s="19" t="s">
        <v>151</v>
      </c>
      <c r="E40" s="20" t="s">
        <v>44</v>
      </c>
      <c r="F40" s="19"/>
      <c r="G40" s="19"/>
      <c r="H40" s="19" t="s">
        <v>152</v>
      </c>
      <c r="I40" s="20" t="s">
        <v>153</v>
      </c>
      <c r="J40" s="19" t="s">
        <v>154</v>
      </c>
      <c r="K40" s="20" t="s">
        <v>47</v>
      </c>
      <c r="L40" s="20" t="s">
        <v>60</v>
      </c>
      <c r="M40" s="19" t="s">
        <v>48</v>
      </c>
      <c r="N40" s="15" t="s">
        <v>50</v>
      </c>
      <c r="O40" s="16" t="s">
        <v>51</v>
      </c>
      <c r="P40" s="16" t="s">
        <v>51</v>
      </c>
      <c r="Q40" s="16" t="s">
        <v>51</v>
      </c>
      <c r="R40" s="16" t="s">
        <v>51</v>
      </c>
      <c r="S40" s="20" t="s">
        <v>51</v>
      </c>
      <c r="T40" s="20" t="s">
        <v>51</v>
      </c>
      <c r="U40" s="20" t="s">
        <v>76</v>
      </c>
      <c r="V40" s="20" t="s">
        <v>53</v>
      </c>
      <c r="W40" s="20"/>
      <c r="X40" s="20"/>
      <c r="Y40" s="20"/>
      <c r="Z40" s="20"/>
      <c r="AA40" s="20"/>
      <c r="AB40" s="20"/>
      <c r="AC40" s="20"/>
      <c r="AD40" s="20"/>
      <c r="AE40" s="20"/>
      <c r="AF40" s="20"/>
      <c r="AG40" s="19" t="s">
        <v>94</v>
      </c>
      <c r="AH40" s="19" t="s">
        <v>55</v>
      </c>
      <c r="AI40" s="19"/>
      <c r="AJ40" s="19" t="s">
        <v>57</v>
      </c>
      <c r="AK40" s="19"/>
    </row>
    <row r="41" customFormat="false" ht="32.25" hidden="false" customHeight="true" outlineLevel="0" collapsed="false">
      <c r="A41" s="10" t="n">
        <v>39</v>
      </c>
      <c r="B41" s="11" t="s">
        <v>135</v>
      </c>
      <c r="C41" s="11" t="s">
        <v>150</v>
      </c>
      <c r="D41" s="12" t="s">
        <v>155</v>
      </c>
      <c r="E41" s="13" t="s">
        <v>66</v>
      </c>
      <c r="F41" s="12"/>
      <c r="G41" s="12"/>
      <c r="H41" s="12"/>
      <c r="I41" s="13"/>
      <c r="J41" s="12"/>
      <c r="K41" s="13" t="s">
        <v>47</v>
      </c>
      <c r="L41" s="13"/>
      <c r="M41" s="12" t="s">
        <v>48</v>
      </c>
      <c r="N41" s="15" t="s">
        <v>50</v>
      </c>
      <c r="O41" s="15" t="s">
        <v>50</v>
      </c>
      <c r="P41" s="16" t="s">
        <v>51</v>
      </c>
      <c r="Q41" s="16" t="s">
        <v>51</v>
      </c>
      <c r="R41" s="16" t="s">
        <v>51</v>
      </c>
      <c r="S41" s="13" t="s">
        <v>50</v>
      </c>
      <c r="T41" s="13" t="s">
        <v>49</v>
      </c>
      <c r="U41" s="13" t="s">
        <v>76</v>
      </c>
      <c r="V41" s="13" t="s">
        <v>60</v>
      </c>
      <c r="W41" s="14" t="s">
        <v>49</v>
      </c>
      <c r="X41" s="21" t="s">
        <v>61</v>
      </c>
      <c r="Y41" s="21" t="s">
        <v>61</v>
      </c>
      <c r="Z41" s="15" t="s">
        <v>50</v>
      </c>
      <c r="AA41" s="15" t="s">
        <v>50</v>
      </c>
      <c r="AB41" s="15" t="s">
        <v>50</v>
      </c>
      <c r="AC41" s="21" t="s">
        <v>61</v>
      </c>
      <c r="AD41" s="22" t="s">
        <v>62</v>
      </c>
      <c r="AE41" s="14" t="s">
        <v>49</v>
      </c>
      <c r="AF41" s="15" t="s">
        <v>50</v>
      </c>
      <c r="AG41" s="12" t="s">
        <v>63</v>
      </c>
      <c r="AH41" s="12" t="s">
        <v>55</v>
      </c>
      <c r="AI41" s="12"/>
      <c r="AJ41" s="12" t="s">
        <v>64</v>
      </c>
      <c r="AK41" s="12"/>
    </row>
    <row r="42" customFormat="false" ht="21.75" hidden="false" customHeight="true" outlineLevel="0" collapsed="false">
      <c r="A42" s="17" t="n">
        <v>40</v>
      </c>
      <c r="B42" s="18" t="s">
        <v>135</v>
      </c>
      <c r="C42" s="18" t="s">
        <v>150</v>
      </c>
      <c r="D42" s="19" t="s">
        <v>156</v>
      </c>
      <c r="E42" s="20" t="s">
        <v>44</v>
      </c>
      <c r="F42" s="19"/>
      <c r="G42" s="19"/>
      <c r="H42" s="19"/>
      <c r="I42" s="20"/>
      <c r="J42" s="19"/>
      <c r="K42" s="20" t="s">
        <v>47</v>
      </c>
      <c r="L42" s="20" t="s">
        <v>60</v>
      </c>
      <c r="M42" s="19" t="s">
        <v>48</v>
      </c>
      <c r="N42" s="15" t="s">
        <v>50</v>
      </c>
      <c r="O42" s="15" t="s">
        <v>50</v>
      </c>
      <c r="P42" s="16" t="s">
        <v>51</v>
      </c>
      <c r="Q42" s="16" t="s">
        <v>51</v>
      </c>
      <c r="R42" s="16" t="s">
        <v>51</v>
      </c>
      <c r="S42" s="20" t="s">
        <v>51</v>
      </c>
      <c r="T42" s="20" t="s">
        <v>50</v>
      </c>
      <c r="U42" s="20" t="s">
        <v>59</v>
      </c>
      <c r="V42" s="20" t="s">
        <v>53</v>
      </c>
      <c r="W42" s="20"/>
      <c r="X42" s="20"/>
      <c r="Y42" s="20"/>
      <c r="Z42" s="20"/>
      <c r="AA42" s="20"/>
      <c r="AB42" s="20"/>
      <c r="AC42" s="20"/>
      <c r="AD42" s="20"/>
      <c r="AE42" s="20"/>
      <c r="AF42" s="20"/>
      <c r="AG42" s="19" t="s">
        <v>94</v>
      </c>
      <c r="AH42" s="19" t="s">
        <v>55</v>
      </c>
      <c r="AI42" s="19"/>
      <c r="AJ42" s="19" t="s">
        <v>57</v>
      </c>
      <c r="AK42" s="19"/>
    </row>
    <row r="43" customFormat="false" ht="21.75" hidden="false" customHeight="true" outlineLevel="0" collapsed="false">
      <c r="A43" s="10" t="n">
        <v>41</v>
      </c>
      <c r="B43" s="11" t="s">
        <v>135</v>
      </c>
      <c r="C43" s="11" t="s">
        <v>150</v>
      </c>
      <c r="D43" s="12" t="s">
        <v>157</v>
      </c>
      <c r="E43" s="13" t="s">
        <v>66</v>
      </c>
      <c r="F43" s="12"/>
      <c r="G43" s="12"/>
      <c r="H43" s="12"/>
      <c r="I43" s="13"/>
      <c r="J43" s="12"/>
      <c r="K43" s="13" t="s">
        <v>47</v>
      </c>
      <c r="L43" s="13" t="s">
        <v>60</v>
      </c>
      <c r="M43" s="12" t="s">
        <v>48</v>
      </c>
      <c r="N43" s="15" t="s">
        <v>50</v>
      </c>
      <c r="O43" s="15" t="s">
        <v>50</v>
      </c>
      <c r="P43" s="15" t="s">
        <v>50</v>
      </c>
      <c r="Q43" s="15" t="s">
        <v>50</v>
      </c>
      <c r="R43" s="15" t="s">
        <v>50</v>
      </c>
      <c r="S43" s="13" t="s">
        <v>49</v>
      </c>
      <c r="T43" s="13" t="s">
        <v>49</v>
      </c>
      <c r="U43" s="13" t="s">
        <v>76</v>
      </c>
      <c r="V43" s="13" t="s">
        <v>53</v>
      </c>
      <c r="W43" s="13"/>
      <c r="X43" s="13"/>
      <c r="Y43" s="13"/>
      <c r="Z43" s="13"/>
      <c r="AA43" s="13"/>
      <c r="AB43" s="13"/>
      <c r="AC43" s="13"/>
      <c r="AD43" s="13"/>
      <c r="AE43" s="13"/>
      <c r="AF43" s="13"/>
      <c r="AG43" s="12" t="s">
        <v>94</v>
      </c>
      <c r="AH43" s="12"/>
      <c r="AI43" s="12"/>
      <c r="AJ43" s="12" t="s">
        <v>57</v>
      </c>
      <c r="AK43" s="12"/>
    </row>
    <row r="44" customFormat="false" ht="21.75" hidden="false" customHeight="true" outlineLevel="0" collapsed="false">
      <c r="A44" s="17" t="n">
        <v>42</v>
      </c>
      <c r="B44" s="18" t="s">
        <v>135</v>
      </c>
      <c r="C44" s="18" t="s">
        <v>150</v>
      </c>
      <c r="D44" s="19" t="s">
        <v>158</v>
      </c>
      <c r="E44" s="20" t="s">
        <v>66</v>
      </c>
      <c r="F44" s="19"/>
      <c r="G44" s="19"/>
      <c r="H44" s="19"/>
      <c r="I44" s="20"/>
      <c r="J44" s="19"/>
      <c r="K44" s="20" t="s">
        <v>47</v>
      </c>
      <c r="L44" s="20" t="s">
        <v>60</v>
      </c>
      <c r="M44" s="19" t="s">
        <v>48</v>
      </c>
      <c r="N44" s="14" t="s">
        <v>49</v>
      </c>
      <c r="O44" s="14" t="s">
        <v>49</v>
      </c>
      <c r="P44" s="15" t="s">
        <v>50</v>
      </c>
      <c r="Q44" s="14" t="s">
        <v>49</v>
      </c>
      <c r="R44" s="15" t="s">
        <v>50</v>
      </c>
      <c r="S44" s="20" t="s">
        <v>49</v>
      </c>
      <c r="T44" s="20" t="s">
        <v>49</v>
      </c>
      <c r="U44" s="20" t="s">
        <v>76</v>
      </c>
      <c r="V44" s="20" t="s">
        <v>53</v>
      </c>
      <c r="W44" s="20"/>
      <c r="X44" s="20"/>
      <c r="Y44" s="20"/>
      <c r="Z44" s="20"/>
      <c r="AA44" s="20"/>
      <c r="AB44" s="20"/>
      <c r="AC44" s="20"/>
      <c r="AD44" s="20"/>
      <c r="AE44" s="20"/>
      <c r="AF44" s="20"/>
      <c r="AG44" s="19" t="s">
        <v>94</v>
      </c>
      <c r="AH44" s="19"/>
      <c r="AI44" s="19"/>
      <c r="AJ44" s="19" t="s">
        <v>57</v>
      </c>
      <c r="AK44" s="19"/>
    </row>
    <row r="45" customFormat="false" ht="21.75" hidden="false" customHeight="true" outlineLevel="0" collapsed="false">
      <c r="A45" s="10" t="n">
        <v>43</v>
      </c>
      <c r="B45" s="11" t="s">
        <v>135</v>
      </c>
      <c r="C45" s="11" t="s">
        <v>150</v>
      </c>
      <c r="D45" s="12" t="s">
        <v>159</v>
      </c>
      <c r="E45" s="13" t="s">
        <v>66</v>
      </c>
      <c r="F45" s="12"/>
      <c r="G45" s="12"/>
      <c r="H45" s="12"/>
      <c r="I45" s="13"/>
      <c r="J45" s="12"/>
      <c r="K45" s="13" t="s">
        <v>47</v>
      </c>
      <c r="L45" s="13" t="s">
        <v>60</v>
      </c>
      <c r="M45" s="12" t="s">
        <v>48</v>
      </c>
      <c r="N45" s="15" t="s">
        <v>50</v>
      </c>
      <c r="O45" s="15" t="s">
        <v>50</v>
      </c>
      <c r="P45" s="15" t="s">
        <v>50</v>
      </c>
      <c r="Q45" s="15" t="s">
        <v>50</v>
      </c>
      <c r="R45" s="15" t="s">
        <v>50</v>
      </c>
      <c r="S45" s="13" t="s">
        <v>49</v>
      </c>
      <c r="T45" s="13" t="s">
        <v>49</v>
      </c>
      <c r="U45" s="13" t="s">
        <v>76</v>
      </c>
      <c r="V45" s="13" t="s">
        <v>53</v>
      </c>
      <c r="W45" s="13"/>
      <c r="X45" s="13"/>
      <c r="Y45" s="13"/>
      <c r="Z45" s="13"/>
      <c r="AA45" s="13"/>
      <c r="AB45" s="13"/>
      <c r="AC45" s="13"/>
      <c r="AD45" s="13"/>
      <c r="AE45" s="13"/>
      <c r="AF45" s="13"/>
      <c r="AG45" s="12" t="s">
        <v>94</v>
      </c>
      <c r="AH45" s="12" t="s">
        <v>55</v>
      </c>
      <c r="AI45" s="12"/>
      <c r="AJ45" s="12" t="s">
        <v>57</v>
      </c>
      <c r="AK45" s="12"/>
    </row>
    <row r="46" customFormat="false" ht="53.25" hidden="false" customHeight="true" outlineLevel="0" collapsed="false">
      <c r="A46" s="17" t="n">
        <v>44</v>
      </c>
      <c r="B46" s="18" t="s">
        <v>135</v>
      </c>
      <c r="C46" s="18" t="s">
        <v>150</v>
      </c>
      <c r="D46" s="19" t="s">
        <v>160</v>
      </c>
      <c r="E46" s="20" t="s">
        <v>44</v>
      </c>
      <c r="F46" s="19"/>
      <c r="G46" s="19"/>
      <c r="H46" s="19" t="s">
        <v>161</v>
      </c>
      <c r="I46" s="20" t="s">
        <v>162</v>
      </c>
      <c r="J46" s="19" t="s">
        <v>163</v>
      </c>
      <c r="K46" s="20" t="s">
        <v>47</v>
      </c>
      <c r="L46" s="20"/>
      <c r="M46" s="19" t="s">
        <v>48</v>
      </c>
      <c r="N46" s="15" t="s">
        <v>50</v>
      </c>
      <c r="O46" s="15" t="s">
        <v>50</v>
      </c>
      <c r="P46" s="16" t="s">
        <v>51</v>
      </c>
      <c r="Q46" s="15" t="s">
        <v>50</v>
      </c>
      <c r="R46" s="16" t="s">
        <v>51</v>
      </c>
      <c r="S46" s="20" t="s">
        <v>50</v>
      </c>
      <c r="T46" s="20" t="s">
        <v>49</v>
      </c>
      <c r="U46" s="20" t="s">
        <v>76</v>
      </c>
      <c r="V46" s="20" t="s">
        <v>60</v>
      </c>
      <c r="W46" s="14" t="s">
        <v>49</v>
      </c>
      <c r="X46" s="14" t="s">
        <v>49</v>
      </c>
      <c r="Y46" s="14" t="s">
        <v>49</v>
      </c>
      <c r="Z46" s="15" t="s">
        <v>50</v>
      </c>
      <c r="AA46" s="15" t="s">
        <v>50</v>
      </c>
      <c r="AB46" s="15" t="s">
        <v>50</v>
      </c>
      <c r="AC46" s="15" t="s">
        <v>50</v>
      </c>
      <c r="AD46" s="16" t="s">
        <v>51</v>
      </c>
      <c r="AE46" s="14" t="s">
        <v>49</v>
      </c>
      <c r="AF46" s="15" t="s">
        <v>50</v>
      </c>
      <c r="AG46" s="19" t="s">
        <v>63</v>
      </c>
      <c r="AH46" s="19"/>
      <c r="AI46" s="19"/>
      <c r="AJ46" s="19" t="s">
        <v>64</v>
      </c>
      <c r="AK46" s="19"/>
    </row>
    <row r="47" customFormat="false" ht="21.75" hidden="false" customHeight="true" outlineLevel="0" collapsed="false">
      <c r="A47" s="10" t="n">
        <v>45</v>
      </c>
      <c r="B47" s="11" t="s">
        <v>135</v>
      </c>
      <c r="C47" s="11" t="s">
        <v>150</v>
      </c>
      <c r="D47" s="12" t="s">
        <v>164</v>
      </c>
      <c r="E47" s="13" t="s">
        <v>66</v>
      </c>
      <c r="F47" s="12"/>
      <c r="G47" s="12"/>
      <c r="H47" s="12"/>
      <c r="I47" s="13"/>
      <c r="J47" s="12"/>
      <c r="K47" s="13" t="s">
        <v>47</v>
      </c>
      <c r="L47" s="13"/>
      <c r="M47" s="12" t="s">
        <v>165</v>
      </c>
      <c r="N47" s="14" t="s">
        <v>49</v>
      </c>
      <c r="O47" s="14" t="s">
        <v>49</v>
      </c>
      <c r="P47" s="15" t="s">
        <v>50</v>
      </c>
      <c r="Q47" s="15" t="s">
        <v>50</v>
      </c>
      <c r="R47" s="15" t="s">
        <v>50</v>
      </c>
      <c r="S47" s="13" t="s">
        <v>50</v>
      </c>
      <c r="T47" s="13" t="s">
        <v>49</v>
      </c>
      <c r="U47" s="13" t="s">
        <v>76</v>
      </c>
      <c r="V47" s="13" t="s">
        <v>53</v>
      </c>
      <c r="W47" s="13"/>
      <c r="X47" s="13"/>
      <c r="Y47" s="13"/>
      <c r="Z47" s="13"/>
      <c r="AA47" s="13"/>
      <c r="AB47" s="13"/>
      <c r="AC47" s="13"/>
      <c r="AD47" s="13"/>
      <c r="AE47" s="13"/>
      <c r="AF47" s="13"/>
      <c r="AG47" s="12" t="s">
        <v>68</v>
      </c>
      <c r="AH47" s="12"/>
      <c r="AI47" s="12"/>
      <c r="AJ47" s="12" t="s">
        <v>57</v>
      </c>
      <c r="AK47" s="12"/>
    </row>
    <row r="48" customFormat="false" ht="42.75" hidden="false" customHeight="true" outlineLevel="0" collapsed="false">
      <c r="A48" s="17" t="n">
        <v>46</v>
      </c>
      <c r="B48" s="18" t="s">
        <v>135</v>
      </c>
      <c r="C48" s="18" t="s">
        <v>150</v>
      </c>
      <c r="D48" s="19" t="s">
        <v>166</v>
      </c>
      <c r="E48" s="20" t="s">
        <v>44</v>
      </c>
      <c r="F48" s="19"/>
      <c r="G48" s="19"/>
      <c r="H48" s="19" t="s">
        <v>167</v>
      </c>
      <c r="I48" s="20" t="s">
        <v>168</v>
      </c>
      <c r="J48" s="19" t="s">
        <v>169</v>
      </c>
      <c r="K48" s="20" t="s">
        <v>47</v>
      </c>
      <c r="L48" s="20"/>
      <c r="M48" s="19" t="s">
        <v>165</v>
      </c>
      <c r="N48" s="14" t="s">
        <v>49</v>
      </c>
      <c r="O48" s="14" t="s">
        <v>49</v>
      </c>
      <c r="P48" s="15" t="s">
        <v>50</v>
      </c>
      <c r="Q48" s="15" t="s">
        <v>50</v>
      </c>
      <c r="R48" s="16" t="s">
        <v>51</v>
      </c>
      <c r="S48" s="20" t="s">
        <v>49</v>
      </c>
      <c r="T48" s="20" t="s">
        <v>49</v>
      </c>
      <c r="U48" s="20" t="s">
        <v>76</v>
      </c>
      <c r="V48" s="20" t="s">
        <v>53</v>
      </c>
      <c r="W48" s="20"/>
      <c r="X48" s="20"/>
      <c r="Y48" s="20"/>
      <c r="Z48" s="20"/>
      <c r="AA48" s="20"/>
      <c r="AB48" s="20"/>
      <c r="AC48" s="20"/>
      <c r="AD48" s="20"/>
      <c r="AE48" s="20"/>
      <c r="AF48" s="20"/>
      <c r="AG48" s="19" t="s">
        <v>63</v>
      </c>
      <c r="AH48" s="19"/>
      <c r="AI48" s="19"/>
      <c r="AJ48" s="19" t="s">
        <v>57</v>
      </c>
      <c r="AK48" s="19" t="s">
        <v>170</v>
      </c>
    </row>
    <row r="49" customFormat="false" ht="32.25" hidden="false" customHeight="true" outlineLevel="0" collapsed="false">
      <c r="A49" s="10" t="n">
        <v>47</v>
      </c>
      <c r="B49" s="11" t="s">
        <v>135</v>
      </c>
      <c r="C49" s="11" t="s">
        <v>150</v>
      </c>
      <c r="D49" s="12" t="s">
        <v>171</v>
      </c>
      <c r="E49" s="13" t="s">
        <v>44</v>
      </c>
      <c r="F49" s="12"/>
      <c r="G49" s="12"/>
      <c r="H49" s="12" t="s">
        <v>172</v>
      </c>
      <c r="I49" s="13" t="s">
        <v>173</v>
      </c>
      <c r="J49" s="12" t="s">
        <v>174</v>
      </c>
      <c r="K49" s="13" t="s">
        <v>47</v>
      </c>
      <c r="L49" s="13"/>
      <c r="M49" s="12" t="s">
        <v>165</v>
      </c>
      <c r="N49" s="15" t="s">
        <v>50</v>
      </c>
      <c r="O49" s="15" t="s">
        <v>50</v>
      </c>
      <c r="P49" s="16" t="s">
        <v>51</v>
      </c>
      <c r="Q49" s="16" t="s">
        <v>51</v>
      </c>
      <c r="R49" s="16" t="s">
        <v>51</v>
      </c>
      <c r="S49" s="13" t="s">
        <v>50</v>
      </c>
      <c r="T49" s="13" t="s">
        <v>50</v>
      </c>
      <c r="U49" s="13" t="s">
        <v>59</v>
      </c>
      <c r="V49" s="13" t="s">
        <v>60</v>
      </c>
      <c r="W49" s="21" t="s">
        <v>61</v>
      </c>
      <c r="X49" s="21" t="s">
        <v>61</v>
      </c>
      <c r="Y49" s="21" t="s">
        <v>61</v>
      </c>
      <c r="Z49" s="22" t="s">
        <v>62</v>
      </c>
      <c r="AA49" s="22" t="s">
        <v>62</v>
      </c>
      <c r="AB49" s="21" t="s">
        <v>61</v>
      </c>
      <c r="AC49" s="21" t="s">
        <v>61</v>
      </c>
      <c r="AD49" s="22" t="s">
        <v>62</v>
      </c>
      <c r="AE49" s="14" t="s">
        <v>49</v>
      </c>
      <c r="AF49" s="21" t="s">
        <v>61</v>
      </c>
      <c r="AG49" s="12" t="s">
        <v>63</v>
      </c>
      <c r="AH49" s="12"/>
      <c r="AI49" s="12"/>
      <c r="AJ49" s="12" t="s">
        <v>64</v>
      </c>
      <c r="AK49" s="12"/>
    </row>
    <row r="50" customFormat="false" ht="21.75" hidden="false" customHeight="true" outlineLevel="0" collapsed="false">
      <c r="A50" s="17" t="n">
        <v>48</v>
      </c>
      <c r="B50" s="18" t="s">
        <v>135</v>
      </c>
      <c r="C50" s="18" t="s">
        <v>175</v>
      </c>
      <c r="D50" s="19" t="s">
        <v>176</v>
      </c>
      <c r="E50" s="20" t="s">
        <v>44</v>
      </c>
      <c r="F50" s="19"/>
      <c r="G50" s="19"/>
      <c r="H50" s="19" t="s">
        <v>176</v>
      </c>
      <c r="I50" s="20" t="s">
        <v>177</v>
      </c>
      <c r="J50" s="19" t="s">
        <v>178</v>
      </c>
      <c r="K50" s="20" t="s">
        <v>47</v>
      </c>
      <c r="L50" s="20" t="s">
        <v>60</v>
      </c>
      <c r="M50" s="19" t="s">
        <v>48</v>
      </c>
      <c r="N50" s="15" t="s">
        <v>50</v>
      </c>
      <c r="O50" s="15" t="s">
        <v>50</v>
      </c>
      <c r="P50" s="16" t="s">
        <v>51</v>
      </c>
      <c r="Q50" s="15" t="s">
        <v>50</v>
      </c>
      <c r="R50" s="16" t="s">
        <v>51</v>
      </c>
      <c r="S50" s="20" t="s">
        <v>50</v>
      </c>
      <c r="T50" s="20" t="s">
        <v>49</v>
      </c>
      <c r="U50" s="20" t="s">
        <v>59</v>
      </c>
      <c r="V50" s="20" t="s">
        <v>53</v>
      </c>
      <c r="W50" s="20"/>
      <c r="X50" s="20"/>
      <c r="Y50" s="20"/>
      <c r="Z50" s="20"/>
      <c r="AA50" s="20"/>
      <c r="AB50" s="20"/>
      <c r="AC50" s="20"/>
      <c r="AD50" s="20"/>
      <c r="AE50" s="20"/>
      <c r="AF50" s="20"/>
      <c r="AG50" s="19" t="s">
        <v>94</v>
      </c>
      <c r="AH50" s="19" t="s">
        <v>55</v>
      </c>
      <c r="AI50" s="19"/>
      <c r="AJ50" s="19" t="s">
        <v>57</v>
      </c>
      <c r="AK50" s="19"/>
    </row>
    <row r="51" customFormat="false" ht="21.75" hidden="false" customHeight="true" outlineLevel="0" collapsed="false">
      <c r="A51" s="10" t="n">
        <v>49</v>
      </c>
      <c r="B51" s="11" t="s">
        <v>135</v>
      </c>
      <c r="C51" s="11" t="s">
        <v>175</v>
      </c>
      <c r="D51" s="12" t="s">
        <v>179</v>
      </c>
      <c r="E51" s="13" t="s">
        <v>44</v>
      </c>
      <c r="F51" s="12"/>
      <c r="G51" s="12"/>
      <c r="H51" s="12" t="s">
        <v>180</v>
      </c>
      <c r="I51" s="13" t="s">
        <v>181</v>
      </c>
      <c r="J51" s="12" t="s">
        <v>182</v>
      </c>
      <c r="K51" s="13" t="s">
        <v>47</v>
      </c>
      <c r="L51" s="13" t="s">
        <v>60</v>
      </c>
      <c r="M51" s="12" t="s">
        <v>48</v>
      </c>
      <c r="N51" s="15" t="s">
        <v>50</v>
      </c>
      <c r="O51" s="15" t="s">
        <v>50</v>
      </c>
      <c r="P51" s="15" t="s">
        <v>50</v>
      </c>
      <c r="Q51" s="15" t="s">
        <v>50</v>
      </c>
      <c r="R51" s="15" t="s">
        <v>50</v>
      </c>
      <c r="S51" s="13" t="s">
        <v>50</v>
      </c>
      <c r="T51" s="13" t="s">
        <v>49</v>
      </c>
      <c r="U51" s="13" t="s">
        <v>59</v>
      </c>
      <c r="V51" s="13" t="s">
        <v>53</v>
      </c>
      <c r="W51" s="13"/>
      <c r="X51" s="13"/>
      <c r="Y51" s="13"/>
      <c r="Z51" s="13"/>
      <c r="AA51" s="13"/>
      <c r="AB51" s="13"/>
      <c r="AC51" s="13"/>
      <c r="AD51" s="13"/>
      <c r="AE51" s="13"/>
      <c r="AF51" s="13"/>
      <c r="AG51" s="12" t="s">
        <v>94</v>
      </c>
      <c r="AH51" s="12" t="s">
        <v>55</v>
      </c>
      <c r="AI51" s="12"/>
      <c r="AJ51" s="12" t="s">
        <v>57</v>
      </c>
      <c r="AK51" s="12"/>
    </row>
    <row r="52" customFormat="false" ht="32.25" hidden="false" customHeight="true" outlineLevel="0" collapsed="false">
      <c r="A52" s="17" t="n">
        <v>50</v>
      </c>
      <c r="B52" s="18" t="s">
        <v>135</v>
      </c>
      <c r="C52" s="18" t="s">
        <v>175</v>
      </c>
      <c r="D52" s="19" t="s">
        <v>183</v>
      </c>
      <c r="E52" s="20" t="s">
        <v>66</v>
      </c>
      <c r="F52" s="19"/>
      <c r="G52" s="19"/>
      <c r="H52" s="19"/>
      <c r="I52" s="20"/>
      <c r="J52" s="19"/>
      <c r="K52" s="20" t="s">
        <v>47</v>
      </c>
      <c r="L52" s="20"/>
      <c r="M52" s="19" t="s">
        <v>165</v>
      </c>
      <c r="N52" s="15" t="s">
        <v>50</v>
      </c>
      <c r="O52" s="15" t="s">
        <v>50</v>
      </c>
      <c r="P52" s="16" t="s">
        <v>51</v>
      </c>
      <c r="Q52" s="15" t="s">
        <v>50</v>
      </c>
      <c r="R52" s="16" t="s">
        <v>51</v>
      </c>
      <c r="S52" s="20" t="s">
        <v>49</v>
      </c>
      <c r="T52" s="20" t="s">
        <v>49</v>
      </c>
      <c r="U52" s="20" t="s">
        <v>59</v>
      </c>
      <c r="V52" s="20" t="s">
        <v>60</v>
      </c>
      <c r="W52" s="21" t="s">
        <v>61</v>
      </c>
      <c r="X52" s="22" t="s">
        <v>62</v>
      </c>
      <c r="Y52" s="22" t="s">
        <v>62</v>
      </c>
      <c r="Z52" s="22" t="s">
        <v>62</v>
      </c>
      <c r="AA52" s="22" t="s">
        <v>62</v>
      </c>
      <c r="AB52" s="21" t="s">
        <v>61</v>
      </c>
      <c r="AC52" s="14" t="s">
        <v>49</v>
      </c>
      <c r="AD52" s="21" t="s">
        <v>61</v>
      </c>
      <c r="AE52" s="14" t="s">
        <v>49</v>
      </c>
      <c r="AF52" s="21" t="s">
        <v>61</v>
      </c>
      <c r="AG52" s="19" t="s">
        <v>63</v>
      </c>
      <c r="AH52" s="19"/>
      <c r="AI52" s="19"/>
      <c r="AJ52" s="19" t="s">
        <v>64</v>
      </c>
      <c r="AK52" s="19"/>
    </row>
    <row r="53" customFormat="false" ht="32.25" hidden="false" customHeight="true" outlineLevel="0" collapsed="false">
      <c r="A53" s="10" t="n">
        <v>51</v>
      </c>
      <c r="B53" s="11" t="s">
        <v>135</v>
      </c>
      <c r="C53" s="11" t="s">
        <v>175</v>
      </c>
      <c r="D53" s="12" t="s">
        <v>184</v>
      </c>
      <c r="E53" s="13" t="s">
        <v>66</v>
      </c>
      <c r="F53" s="12"/>
      <c r="G53" s="12"/>
      <c r="H53" s="12"/>
      <c r="I53" s="13"/>
      <c r="J53" s="12"/>
      <c r="K53" s="13" t="s">
        <v>47</v>
      </c>
      <c r="L53" s="13"/>
      <c r="M53" s="12" t="s">
        <v>48</v>
      </c>
      <c r="N53" s="15" t="s">
        <v>50</v>
      </c>
      <c r="O53" s="15" t="s">
        <v>50</v>
      </c>
      <c r="P53" s="16" t="s">
        <v>51</v>
      </c>
      <c r="Q53" s="16" t="s">
        <v>51</v>
      </c>
      <c r="R53" s="16" t="s">
        <v>51</v>
      </c>
      <c r="S53" s="13" t="s">
        <v>49</v>
      </c>
      <c r="T53" s="13" t="s">
        <v>49</v>
      </c>
      <c r="U53" s="13" t="s">
        <v>59</v>
      </c>
      <c r="V53" s="13" t="s">
        <v>60</v>
      </c>
      <c r="W53" s="14" t="s">
        <v>49</v>
      </c>
      <c r="X53" s="14" t="s">
        <v>49</v>
      </c>
      <c r="Y53" s="14" t="s">
        <v>49</v>
      </c>
      <c r="Z53" s="21" t="s">
        <v>61</v>
      </c>
      <c r="AA53" s="21" t="s">
        <v>61</v>
      </c>
      <c r="AB53" s="15" t="s">
        <v>50</v>
      </c>
      <c r="AC53" s="15" t="s">
        <v>50</v>
      </c>
      <c r="AD53" s="16" t="s">
        <v>51</v>
      </c>
      <c r="AE53" s="21" t="s">
        <v>61</v>
      </c>
      <c r="AF53" s="22" t="s">
        <v>62</v>
      </c>
      <c r="AG53" s="12" t="s">
        <v>63</v>
      </c>
      <c r="AH53" s="12"/>
      <c r="AI53" s="12"/>
      <c r="AJ53" s="12" t="s">
        <v>64</v>
      </c>
      <c r="AK53" s="12"/>
    </row>
    <row r="54" customFormat="false" ht="21.75" hidden="false" customHeight="true" outlineLevel="0" collapsed="false">
      <c r="A54" s="17" t="n">
        <v>52</v>
      </c>
      <c r="B54" s="18" t="s">
        <v>135</v>
      </c>
      <c r="C54" s="18" t="s">
        <v>175</v>
      </c>
      <c r="D54" s="19" t="s">
        <v>185</v>
      </c>
      <c r="E54" s="20" t="s">
        <v>66</v>
      </c>
      <c r="F54" s="19"/>
      <c r="G54" s="19"/>
      <c r="H54" s="19"/>
      <c r="I54" s="20"/>
      <c r="J54" s="19"/>
      <c r="K54" s="20" t="s">
        <v>47</v>
      </c>
      <c r="L54" s="20"/>
      <c r="M54" s="19" t="s">
        <v>165</v>
      </c>
      <c r="N54" s="14" t="s">
        <v>49</v>
      </c>
      <c r="O54" s="14" t="s">
        <v>49</v>
      </c>
      <c r="P54" s="15" t="s">
        <v>50</v>
      </c>
      <c r="Q54" s="14" t="s">
        <v>49</v>
      </c>
      <c r="R54" s="15" t="s">
        <v>50</v>
      </c>
      <c r="S54" s="20" t="s">
        <v>49</v>
      </c>
      <c r="T54" s="20" t="s">
        <v>49</v>
      </c>
      <c r="U54" s="20" t="s">
        <v>59</v>
      </c>
      <c r="V54" s="20" t="s">
        <v>53</v>
      </c>
      <c r="W54" s="20"/>
      <c r="X54" s="20"/>
      <c r="Y54" s="20"/>
      <c r="Z54" s="20"/>
      <c r="AA54" s="20"/>
      <c r="AB54" s="20"/>
      <c r="AC54" s="20"/>
      <c r="AD54" s="20"/>
      <c r="AE54" s="20"/>
      <c r="AF54" s="20"/>
      <c r="AG54" s="19" t="s">
        <v>68</v>
      </c>
      <c r="AH54" s="19"/>
      <c r="AI54" s="19"/>
      <c r="AJ54" s="19" t="s">
        <v>57</v>
      </c>
      <c r="AK54" s="19"/>
    </row>
    <row r="55" customFormat="false" ht="32.25" hidden="false" customHeight="true" outlineLevel="0" collapsed="false">
      <c r="A55" s="10" t="n">
        <v>53</v>
      </c>
      <c r="B55" s="11" t="s">
        <v>135</v>
      </c>
      <c r="C55" s="11" t="s">
        <v>175</v>
      </c>
      <c r="D55" s="12" t="s">
        <v>186</v>
      </c>
      <c r="E55" s="13" t="s">
        <v>44</v>
      </c>
      <c r="F55" s="12" t="s">
        <v>187</v>
      </c>
      <c r="G55" s="12"/>
      <c r="H55" s="12" t="s">
        <v>188</v>
      </c>
      <c r="I55" s="13" t="s">
        <v>189</v>
      </c>
      <c r="J55" s="12" t="s">
        <v>190</v>
      </c>
      <c r="K55" s="13" t="s">
        <v>47</v>
      </c>
      <c r="L55" s="13"/>
      <c r="M55" s="12" t="s">
        <v>48</v>
      </c>
      <c r="N55" s="15" t="s">
        <v>50</v>
      </c>
      <c r="O55" s="15" t="s">
        <v>50</v>
      </c>
      <c r="P55" s="16" t="s">
        <v>51</v>
      </c>
      <c r="Q55" s="15" t="s">
        <v>50</v>
      </c>
      <c r="R55" s="16" t="s">
        <v>51</v>
      </c>
      <c r="S55" s="13" t="s">
        <v>50</v>
      </c>
      <c r="T55" s="13" t="s">
        <v>50</v>
      </c>
      <c r="U55" s="13" t="s">
        <v>59</v>
      </c>
      <c r="V55" s="13" t="s">
        <v>60</v>
      </c>
      <c r="W55" s="14" t="s">
        <v>49</v>
      </c>
      <c r="X55" s="21" t="s">
        <v>61</v>
      </c>
      <c r="Y55" s="14" t="s">
        <v>49</v>
      </c>
      <c r="Z55" s="15" t="s">
        <v>50</v>
      </c>
      <c r="AA55" s="15" t="s">
        <v>50</v>
      </c>
      <c r="AB55" s="15" t="s">
        <v>50</v>
      </c>
      <c r="AC55" s="21" t="s">
        <v>61</v>
      </c>
      <c r="AD55" s="16" t="s">
        <v>51</v>
      </c>
      <c r="AE55" s="14" t="s">
        <v>49</v>
      </c>
      <c r="AF55" s="15" t="s">
        <v>50</v>
      </c>
      <c r="AG55" s="12" t="s">
        <v>63</v>
      </c>
      <c r="AH55" s="12" t="s">
        <v>55</v>
      </c>
      <c r="AI55" s="12"/>
      <c r="AJ55" s="12" t="s">
        <v>64</v>
      </c>
      <c r="AK55" s="12"/>
    </row>
    <row r="56" customFormat="false" ht="21.75" hidden="false" customHeight="true" outlineLevel="0" collapsed="false">
      <c r="A56" s="17" t="n">
        <v>54</v>
      </c>
      <c r="B56" s="18" t="s">
        <v>135</v>
      </c>
      <c r="C56" s="18" t="s">
        <v>175</v>
      </c>
      <c r="D56" s="19" t="s">
        <v>191</v>
      </c>
      <c r="E56" s="20" t="s">
        <v>66</v>
      </c>
      <c r="F56" s="19"/>
      <c r="G56" s="19"/>
      <c r="H56" s="19"/>
      <c r="I56" s="20"/>
      <c r="J56" s="19"/>
      <c r="K56" s="20" t="s">
        <v>47</v>
      </c>
      <c r="L56" s="20"/>
      <c r="M56" s="19" t="s">
        <v>48</v>
      </c>
      <c r="N56" s="15" t="s">
        <v>50</v>
      </c>
      <c r="O56" s="15" t="s">
        <v>50</v>
      </c>
      <c r="P56" s="15" t="s">
        <v>50</v>
      </c>
      <c r="Q56" s="15" t="s">
        <v>50</v>
      </c>
      <c r="R56" s="15" t="s">
        <v>50</v>
      </c>
      <c r="S56" s="20" t="s">
        <v>49</v>
      </c>
      <c r="T56" s="20" t="s">
        <v>49</v>
      </c>
      <c r="U56" s="20" t="s">
        <v>101</v>
      </c>
      <c r="V56" s="20" t="s">
        <v>53</v>
      </c>
      <c r="W56" s="20"/>
      <c r="X56" s="20"/>
      <c r="Y56" s="20"/>
      <c r="Z56" s="20"/>
      <c r="AA56" s="20"/>
      <c r="AB56" s="20"/>
      <c r="AC56" s="20"/>
      <c r="AD56" s="20"/>
      <c r="AE56" s="20"/>
      <c r="AF56" s="20"/>
      <c r="AG56" s="19" t="s">
        <v>68</v>
      </c>
      <c r="AH56" s="19"/>
      <c r="AI56" s="19"/>
      <c r="AJ56" s="19" t="s">
        <v>57</v>
      </c>
      <c r="AK56" s="19"/>
    </row>
    <row r="57" customFormat="false" ht="32.25" hidden="false" customHeight="true" outlineLevel="0" collapsed="false">
      <c r="A57" s="10" t="n">
        <v>55</v>
      </c>
      <c r="B57" s="11" t="s">
        <v>135</v>
      </c>
      <c r="C57" s="11" t="s">
        <v>175</v>
      </c>
      <c r="D57" s="12" t="s">
        <v>192</v>
      </c>
      <c r="E57" s="13" t="s">
        <v>66</v>
      </c>
      <c r="F57" s="12"/>
      <c r="G57" s="12"/>
      <c r="H57" s="12"/>
      <c r="I57" s="13"/>
      <c r="J57" s="12"/>
      <c r="K57" s="13" t="s">
        <v>47</v>
      </c>
      <c r="L57" s="13"/>
      <c r="M57" s="12" t="s">
        <v>48</v>
      </c>
      <c r="N57" s="14" t="s">
        <v>49</v>
      </c>
      <c r="O57" s="14" t="s">
        <v>49</v>
      </c>
      <c r="P57" s="16" t="s">
        <v>51</v>
      </c>
      <c r="Q57" s="14" t="s">
        <v>49</v>
      </c>
      <c r="R57" s="16" t="s">
        <v>51</v>
      </c>
      <c r="S57" s="13" t="s">
        <v>49</v>
      </c>
      <c r="T57" s="13" t="s">
        <v>49</v>
      </c>
      <c r="U57" s="13" t="s">
        <v>59</v>
      </c>
      <c r="V57" s="13" t="s">
        <v>60</v>
      </c>
      <c r="W57" s="14" t="s">
        <v>49</v>
      </c>
      <c r="X57" s="14" t="s">
        <v>49</v>
      </c>
      <c r="Y57" s="14" t="s">
        <v>49</v>
      </c>
      <c r="Z57" s="21" t="s">
        <v>61</v>
      </c>
      <c r="AA57" s="14" t="s">
        <v>49</v>
      </c>
      <c r="AB57" s="14" t="s">
        <v>49</v>
      </c>
      <c r="AC57" s="14" t="s">
        <v>49</v>
      </c>
      <c r="AD57" s="16" t="s">
        <v>51</v>
      </c>
      <c r="AE57" s="14" t="s">
        <v>49</v>
      </c>
      <c r="AF57" s="16" t="s">
        <v>51</v>
      </c>
      <c r="AG57" s="12" t="s">
        <v>63</v>
      </c>
      <c r="AH57" s="12" t="s">
        <v>72</v>
      </c>
      <c r="AI57" s="12"/>
      <c r="AJ57" s="12" t="s">
        <v>64</v>
      </c>
      <c r="AK57" s="12"/>
    </row>
    <row r="58" customFormat="false" ht="21.75" hidden="false" customHeight="true" outlineLevel="0" collapsed="false">
      <c r="A58" s="17" t="n">
        <v>56</v>
      </c>
      <c r="B58" s="18" t="s">
        <v>135</v>
      </c>
      <c r="C58" s="18" t="s">
        <v>175</v>
      </c>
      <c r="D58" s="19" t="s">
        <v>193</v>
      </c>
      <c r="E58" s="20" t="s">
        <v>66</v>
      </c>
      <c r="F58" s="19"/>
      <c r="G58" s="19"/>
      <c r="H58" s="19"/>
      <c r="I58" s="20"/>
      <c r="J58" s="19"/>
      <c r="K58" s="20" t="s">
        <v>47</v>
      </c>
      <c r="L58" s="20"/>
      <c r="M58" s="19" t="s">
        <v>79</v>
      </c>
      <c r="N58" s="14" t="s">
        <v>49</v>
      </c>
      <c r="O58" s="14" t="s">
        <v>49</v>
      </c>
      <c r="P58" s="15" t="s">
        <v>50</v>
      </c>
      <c r="Q58" s="15" t="s">
        <v>50</v>
      </c>
      <c r="R58" s="16" t="s">
        <v>51</v>
      </c>
      <c r="S58" s="20" t="s">
        <v>49</v>
      </c>
      <c r="T58" s="20" t="s">
        <v>49</v>
      </c>
      <c r="U58" s="20" t="s">
        <v>59</v>
      </c>
      <c r="V58" s="20" t="s">
        <v>53</v>
      </c>
      <c r="W58" s="20"/>
      <c r="X58" s="20"/>
      <c r="Y58" s="20"/>
      <c r="Z58" s="20"/>
      <c r="AA58" s="20"/>
      <c r="AB58" s="20"/>
      <c r="AC58" s="20"/>
      <c r="AD58" s="20"/>
      <c r="AE58" s="20"/>
      <c r="AF58" s="20"/>
      <c r="AG58" s="19" t="s">
        <v>68</v>
      </c>
      <c r="AH58" s="19"/>
      <c r="AI58" s="19"/>
      <c r="AJ58" s="19" t="s">
        <v>57</v>
      </c>
      <c r="AK58" s="19"/>
    </row>
    <row r="59" customFormat="false" ht="21.75" hidden="false" customHeight="true" outlineLevel="0" collapsed="false">
      <c r="A59" s="10" t="n">
        <v>57</v>
      </c>
      <c r="B59" s="11" t="s">
        <v>135</v>
      </c>
      <c r="C59" s="11" t="s">
        <v>175</v>
      </c>
      <c r="D59" s="12" t="s">
        <v>194</v>
      </c>
      <c r="E59" s="13" t="s">
        <v>66</v>
      </c>
      <c r="F59" s="12"/>
      <c r="G59" s="12"/>
      <c r="H59" s="12"/>
      <c r="I59" s="13"/>
      <c r="J59" s="12"/>
      <c r="K59" s="13" t="s">
        <v>47</v>
      </c>
      <c r="L59" s="13"/>
      <c r="M59" s="12" t="s">
        <v>79</v>
      </c>
      <c r="N59" s="14" t="s">
        <v>49</v>
      </c>
      <c r="O59" s="14" t="s">
        <v>49</v>
      </c>
      <c r="P59" s="15" t="s">
        <v>50</v>
      </c>
      <c r="Q59" s="14" t="s">
        <v>49</v>
      </c>
      <c r="R59" s="15" t="s">
        <v>50</v>
      </c>
      <c r="S59" s="13" t="s">
        <v>49</v>
      </c>
      <c r="T59" s="13" t="s">
        <v>49</v>
      </c>
      <c r="U59" s="13" t="s">
        <v>101</v>
      </c>
      <c r="V59" s="13" t="s">
        <v>53</v>
      </c>
      <c r="W59" s="13"/>
      <c r="X59" s="13"/>
      <c r="Y59" s="13"/>
      <c r="Z59" s="13"/>
      <c r="AA59" s="13"/>
      <c r="AB59" s="13"/>
      <c r="AC59" s="13"/>
      <c r="AD59" s="13"/>
      <c r="AE59" s="13"/>
      <c r="AF59" s="13"/>
      <c r="AG59" s="12" t="s">
        <v>94</v>
      </c>
      <c r="AH59" s="12"/>
      <c r="AI59" s="12"/>
      <c r="AJ59" s="12" t="s">
        <v>57</v>
      </c>
      <c r="AK59" s="12"/>
    </row>
    <row r="60" customFormat="false" ht="21.75" hidden="false" customHeight="true" outlineLevel="0" collapsed="false">
      <c r="A60" s="17" t="n">
        <v>58</v>
      </c>
      <c r="B60" s="18" t="s">
        <v>135</v>
      </c>
      <c r="C60" s="18" t="s">
        <v>175</v>
      </c>
      <c r="D60" s="19" t="s">
        <v>195</v>
      </c>
      <c r="E60" s="20" t="s">
        <v>66</v>
      </c>
      <c r="F60" s="19"/>
      <c r="G60" s="19"/>
      <c r="H60" s="19"/>
      <c r="I60" s="20"/>
      <c r="J60" s="19"/>
      <c r="K60" s="20" t="s">
        <v>47</v>
      </c>
      <c r="L60" s="20"/>
      <c r="M60" s="19" t="s">
        <v>79</v>
      </c>
      <c r="N60" s="14" t="s">
        <v>49</v>
      </c>
      <c r="O60" s="14" t="s">
        <v>49</v>
      </c>
      <c r="P60" s="15" t="s">
        <v>50</v>
      </c>
      <c r="Q60" s="14" t="s">
        <v>49</v>
      </c>
      <c r="R60" s="15" t="s">
        <v>50</v>
      </c>
      <c r="S60" s="20" t="s">
        <v>49</v>
      </c>
      <c r="T60" s="20" t="s">
        <v>49</v>
      </c>
      <c r="U60" s="20" t="s">
        <v>101</v>
      </c>
      <c r="V60" s="20" t="s">
        <v>53</v>
      </c>
      <c r="W60" s="20"/>
      <c r="X60" s="20"/>
      <c r="Y60" s="20"/>
      <c r="Z60" s="20"/>
      <c r="AA60" s="20"/>
      <c r="AB60" s="20"/>
      <c r="AC60" s="20"/>
      <c r="AD60" s="20"/>
      <c r="AE60" s="20"/>
      <c r="AF60" s="20"/>
      <c r="AG60" s="19" t="s">
        <v>94</v>
      </c>
      <c r="AH60" s="19"/>
      <c r="AI60" s="19"/>
      <c r="AJ60" s="19" t="s">
        <v>57</v>
      </c>
      <c r="AK60" s="19"/>
    </row>
    <row r="61" customFormat="false" ht="21.75" hidden="false" customHeight="true" outlineLevel="0" collapsed="false">
      <c r="A61" s="10" t="n">
        <v>59</v>
      </c>
      <c r="B61" s="11" t="s">
        <v>196</v>
      </c>
      <c r="C61" s="11" t="s">
        <v>197</v>
      </c>
      <c r="D61" s="12" t="s">
        <v>198</v>
      </c>
      <c r="E61" s="13" t="s">
        <v>44</v>
      </c>
      <c r="F61" s="12" t="s">
        <v>199</v>
      </c>
      <c r="G61" s="12" t="s">
        <v>200</v>
      </c>
      <c r="H61" s="12"/>
      <c r="I61" s="13"/>
      <c r="J61" s="12"/>
      <c r="K61" s="13" t="s">
        <v>47</v>
      </c>
      <c r="L61" s="13"/>
      <c r="M61" s="12" t="s">
        <v>165</v>
      </c>
      <c r="N61" s="15" t="s">
        <v>50</v>
      </c>
      <c r="O61" s="15" t="s">
        <v>50</v>
      </c>
      <c r="P61" s="15" t="s">
        <v>50</v>
      </c>
      <c r="Q61" s="15" t="s">
        <v>50</v>
      </c>
      <c r="R61" s="15" t="s">
        <v>50</v>
      </c>
      <c r="S61" s="13" t="s">
        <v>50</v>
      </c>
      <c r="T61" s="13" t="s">
        <v>49</v>
      </c>
      <c r="U61" s="13" t="s">
        <v>59</v>
      </c>
      <c r="V61" s="13" t="s">
        <v>53</v>
      </c>
      <c r="W61" s="13"/>
      <c r="X61" s="13"/>
      <c r="Y61" s="13"/>
      <c r="Z61" s="13"/>
      <c r="AA61" s="13"/>
      <c r="AB61" s="13"/>
      <c r="AC61" s="13"/>
      <c r="AD61" s="13"/>
      <c r="AE61" s="13"/>
      <c r="AF61" s="13"/>
      <c r="AG61" s="12" t="s">
        <v>68</v>
      </c>
      <c r="AH61" s="12"/>
      <c r="AI61" s="12"/>
      <c r="AJ61" s="12" t="s">
        <v>57</v>
      </c>
      <c r="AK61" s="12"/>
    </row>
    <row r="62" customFormat="false" ht="32.25" hidden="false" customHeight="true" outlineLevel="0" collapsed="false">
      <c r="A62" s="17" t="n">
        <v>60</v>
      </c>
      <c r="B62" s="18" t="s">
        <v>196</v>
      </c>
      <c r="C62" s="18" t="s">
        <v>197</v>
      </c>
      <c r="D62" s="19" t="s">
        <v>201</v>
      </c>
      <c r="E62" s="20" t="s">
        <v>44</v>
      </c>
      <c r="F62" s="19" t="s">
        <v>202</v>
      </c>
      <c r="G62" s="19" t="s">
        <v>200</v>
      </c>
      <c r="H62" s="19"/>
      <c r="I62" s="20"/>
      <c r="J62" s="19"/>
      <c r="K62" s="20" t="s">
        <v>47</v>
      </c>
      <c r="L62" s="20"/>
      <c r="M62" s="19" t="s">
        <v>165</v>
      </c>
      <c r="N62" s="15" t="s">
        <v>50</v>
      </c>
      <c r="O62" s="15" t="s">
        <v>50</v>
      </c>
      <c r="P62" s="16" t="s">
        <v>51</v>
      </c>
      <c r="Q62" s="15" t="s">
        <v>50</v>
      </c>
      <c r="R62" s="16" t="s">
        <v>51</v>
      </c>
      <c r="S62" s="20" t="s">
        <v>50</v>
      </c>
      <c r="T62" s="20" t="s">
        <v>49</v>
      </c>
      <c r="U62" s="20" t="s">
        <v>59</v>
      </c>
      <c r="V62" s="20" t="s">
        <v>60</v>
      </c>
      <c r="W62" s="14" t="s">
        <v>49</v>
      </c>
      <c r="X62" s="21" t="s">
        <v>61</v>
      </c>
      <c r="Y62" s="21" t="s">
        <v>61</v>
      </c>
      <c r="Z62" s="15" t="s">
        <v>50</v>
      </c>
      <c r="AA62" s="15" t="s">
        <v>50</v>
      </c>
      <c r="AB62" s="15" t="s">
        <v>50</v>
      </c>
      <c r="AC62" s="21" t="s">
        <v>61</v>
      </c>
      <c r="AD62" s="22" t="s">
        <v>62</v>
      </c>
      <c r="AE62" s="14" t="s">
        <v>49</v>
      </c>
      <c r="AF62" s="15" t="s">
        <v>50</v>
      </c>
      <c r="AG62" s="19" t="s">
        <v>63</v>
      </c>
      <c r="AH62" s="19"/>
      <c r="AI62" s="19"/>
      <c r="AJ62" s="19" t="s">
        <v>64</v>
      </c>
      <c r="AK62" s="19"/>
    </row>
    <row r="63" customFormat="false" ht="42.75" hidden="false" customHeight="true" outlineLevel="0" collapsed="false">
      <c r="A63" s="10" t="n">
        <v>61</v>
      </c>
      <c r="B63" s="11" t="s">
        <v>196</v>
      </c>
      <c r="C63" s="11" t="s">
        <v>197</v>
      </c>
      <c r="D63" s="12" t="s">
        <v>203</v>
      </c>
      <c r="E63" s="13" t="s">
        <v>44</v>
      </c>
      <c r="F63" s="12" t="s">
        <v>204</v>
      </c>
      <c r="G63" s="12"/>
      <c r="H63" s="12" t="s">
        <v>205</v>
      </c>
      <c r="I63" s="13" t="s">
        <v>206</v>
      </c>
      <c r="J63" s="12" t="s">
        <v>207</v>
      </c>
      <c r="K63" s="13" t="s">
        <v>47</v>
      </c>
      <c r="L63" s="13"/>
      <c r="M63" s="12" t="s">
        <v>79</v>
      </c>
      <c r="N63" s="14" t="s">
        <v>49</v>
      </c>
      <c r="O63" s="15" t="s">
        <v>50</v>
      </c>
      <c r="P63" s="15" t="s">
        <v>50</v>
      </c>
      <c r="Q63" s="15" t="s">
        <v>50</v>
      </c>
      <c r="R63" s="16" t="s">
        <v>51</v>
      </c>
      <c r="S63" s="13" t="s">
        <v>51</v>
      </c>
      <c r="T63" s="13" t="s">
        <v>51</v>
      </c>
      <c r="U63" s="13" t="s">
        <v>76</v>
      </c>
      <c r="V63" s="13" t="s">
        <v>60</v>
      </c>
      <c r="W63" s="14" t="s">
        <v>49</v>
      </c>
      <c r="X63" s="21" t="s">
        <v>61</v>
      </c>
      <c r="Y63" s="14" t="s">
        <v>49</v>
      </c>
      <c r="Z63" s="15" t="s">
        <v>50</v>
      </c>
      <c r="AA63" s="21" t="s">
        <v>61</v>
      </c>
      <c r="AB63" s="14" t="s">
        <v>49</v>
      </c>
      <c r="AC63" s="21" t="s">
        <v>61</v>
      </c>
      <c r="AD63" s="15" t="s">
        <v>50</v>
      </c>
      <c r="AE63" s="14" t="s">
        <v>49</v>
      </c>
      <c r="AF63" s="21" t="s">
        <v>61</v>
      </c>
      <c r="AG63" s="12" t="s">
        <v>63</v>
      </c>
      <c r="AH63" s="12"/>
      <c r="AI63" s="12"/>
      <c r="AJ63" s="12" t="s">
        <v>64</v>
      </c>
      <c r="AK63" s="12"/>
    </row>
    <row r="64" customFormat="false" ht="32.25" hidden="false" customHeight="true" outlineLevel="0" collapsed="false">
      <c r="A64" s="17" t="n">
        <v>62</v>
      </c>
      <c r="B64" s="18" t="s">
        <v>196</v>
      </c>
      <c r="C64" s="18" t="s">
        <v>197</v>
      </c>
      <c r="D64" s="19" t="s">
        <v>208</v>
      </c>
      <c r="E64" s="20" t="s">
        <v>44</v>
      </c>
      <c r="F64" s="19" t="s">
        <v>209</v>
      </c>
      <c r="G64" s="19"/>
      <c r="H64" s="19" t="s">
        <v>210</v>
      </c>
      <c r="I64" s="20" t="s">
        <v>211</v>
      </c>
      <c r="J64" s="19" t="s">
        <v>212</v>
      </c>
      <c r="K64" s="20" t="s">
        <v>47</v>
      </c>
      <c r="L64" s="20"/>
      <c r="M64" s="19" t="s">
        <v>165</v>
      </c>
      <c r="N64" s="15" t="s">
        <v>50</v>
      </c>
      <c r="O64" s="15" t="s">
        <v>50</v>
      </c>
      <c r="P64" s="16" t="s">
        <v>51</v>
      </c>
      <c r="Q64" s="16" t="s">
        <v>51</v>
      </c>
      <c r="R64" s="16" t="s">
        <v>51</v>
      </c>
      <c r="S64" s="20" t="s">
        <v>50</v>
      </c>
      <c r="T64" s="20" t="s">
        <v>50</v>
      </c>
      <c r="U64" s="20" t="s">
        <v>59</v>
      </c>
      <c r="V64" s="20" t="s">
        <v>60</v>
      </c>
      <c r="W64" s="21" t="s">
        <v>61</v>
      </c>
      <c r="X64" s="15" t="s">
        <v>50</v>
      </c>
      <c r="Y64" s="21" t="s">
        <v>61</v>
      </c>
      <c r="Z64" s="15" t="s">
        <v>50</v>
      </c>
      <c r="AA64" s="15" t="s">
        <v>50</v>
      </c>
      <c r="AB64" s="21" t="s">
        <v>61</v>
      </c>
      <c r="AC64" s="14" t="s">
        <v>49</v>
      </c>
      <c r="AD64" s="22" t="s">
        <v>62</v>
      </c>
      <c r="AE64" s="14" t="s">
        <v>49</v>
      </c>
      <c r="AF64" s="15" t="s">
        <v>50</v>
      </c>
      <c r="AG64" s="19" t="s">
        <v>63</v>
      </c>
      <c r="AH64" s="19"/>
      <c r="AI64" s="19"/>
      <c r="AJ64" s="19" t="s">
        <v>64</v>
      </c>
      <c r="AK64" s="19"/>
    </row>
    <row r="65" customFormat="false" ht="21.75" hidden="false" customHeight="true" outlineLevel="0" collapsed="false">
      <c r="A65" s="10" t="n">
        <v>63</v>
      </c>
      <c r="B65" s="11" t="s">
        <v>196</v>
      </c>
      <c r="C65" s="11" t="s">
        <v>197</v>
      </c>
      <c r="D65" s="12" t="s">
        <v>213</v>
      </c>
      <c r="E65" s="13" t="s">
        <v>66</v>
      </c>
      <c r="F65" s="12"/>
      <c r="G65" s="12"/>
      <c r="H65" s="12"/>
      <c r="I65" s="13"/>
      <c r="J65" s="12"/>
      <c r="K65" s="13" t="s">
        <v>47</v>
      </c>
      <c r="L65" s="13"/>
      <c r="M65" s="12" t="s">
        <v>165</v>
      </c>
      <c r="N65" s="15" t="s">
        <v>50</v>
      </c>
      <c r="O65" s="15" t="s">
        <v>50</v>
      </c>
      <c r="P65" s="16" t="s">
        <v>51</v>
      </c>
      <c r="Q65" s="15" t="s">
        <v>50</v>
      </c>
      <c r="R65" s="16" t="s">
        <v>51</v>
      </c>
      <c r="S65" s="13" t="s">
        <v>50</v>
      </c>
      <c r="T65" s="13" t="s">
        <v>50</v>
      </c>
      <c r="U65" s="13" t="s">
        <v>59</v>
      </c>
      <c r="V65" s="13" t="s">
        <v>53</v>
      </c>
      <c r="W65" s="13"/>
      <c r="X65" s="13"/>
      <c r="Y65" s="13"/>
      <c r="Z65" s="13"/>
      <c r="AA65" s="13"/>
      <c r="AB65" s="13"/>
      <c r="AC65" s="13"/>
      <c r="AD65" s="13"/>
      <c r="AE65" s="13"/>
      <c r="AF65" s="13"/>
      <c r="AG65" s="12" t="s">
        <v>63</v>
      </c>
      <c r="AH65" s="12"/>
      <c r="AI65" s="12"/>
      <c r="AJ65" s="12" t="s">
        <v>57</v>
      </c>
      <c r="AK65" s="12" t="s">
        <v>170</v>
      </c>
    </row>
    <row r="66" customFormat="false" ht="21.75" hidden="false" customHeight="true" outlineLevel="0" collapsed="false">
      <c r="A66" s="17" t="n">
        <v>64</v>
      </c>
      <c r="B66" s="18" t="s">
        <v>196</v>
      </c>
      <c r="C66" s="18" t="s">
        <v>197</v>
      </c>
      <c r="D66" s="19" t="s">
        <v>214</v>
      </c>
      <c r="E66" s="20" t="s">
        <v>66</v>
      </c>
      <c r="F66" s="19"/>
      <c r="G66" s="19"/>
      <c r="H66" s="19"/>
      <c r="I66" s="20"/>
      <c r="J66" s="19"/>
      <c r="K66" s="20" t="s">
        <v>47</v>
      </c>
      <c r="L66" s="20"/>
      <c r="M66" s="19" t="s">
        <v>215</v>
      </c>
      <c r="N66" s="14" t="s">
        <v>49</v>
      </c>
      <c r="O66" s="14" t="s">
        <v>49</v>
      </c>
      <c r="P66" s="14" t="s">
        <v>49</v>
      </c>
      <c r="Q66" s="14" t="s">
        <v>49</v>
      </c>
      <c r="R66" s="14" t="s">
        <v>49</v>
      </c>
      <c r="S66" s="20" t="s">
        <v>50</v>
      </c>
      <c r="T66" s="20" t="s">
        <v>50</v>
      </c>
      <c r="U66" s="20" t="s">
        <v>101</v>
      </c>
      <c r="V66" s="20" t="s">
        <v>53</v>
      </c>
      <c r="W66" s="20"/>
      <c r="X66" s="20"/>
      <c r="Y66" s="20"/>
      <c r="Z66" s="20"/>
      <c r="AA66" s="20"/>
      <c r="AB66" s="20"/>
      <c r="AC66" s="20"/>
      <c r="AD66" s="20"/>
      <c r="AE66" s="20"/>
      <c r="AF66" s="20"/>
      <c r="AG66" s="19" t="s">
        <v>94</v>
      </c>
      <c r="AH66" s="19"/>
      <c r="AI66" s="19"/>
      <c r="AJ66" s="19" t="s">
        <v>57</v>
      </c>
      <c r="AK66" s="19"/>
    </row>
    <row r="67" customFormat="false" ht="21.75" hidden="false" customHeight="true" outlineLevel="0" collapsed="false">
      <c r="A67" s="10" t="n">
        <v>65</v>
      </c>
      <c r="B67" s="11" t="s">
        <v>196</v>
      </c>
      <c r="C67" s="11" t="s">
        <v>216</v>
      </c>
      <c r="D67" s="12" t="s">
        <v>217</v>
      </c>
      <c r="E67" s="13" t="s">
        <v>44</v>
      </c>
      <c r="F67" s="12"/>
      <c r="G67" s="12"/>
      <c r="H67" s="12" t="s">
        <v>218</v>
      </c>
      <c r="I67" s="13" t="s">
        <v>219</v>
      </c>
      <c r="J67" s="12" t="s">
        <v>220</v>
      </c>
      <c r="K67" s="13" t="s">
        <v>47</v>
      </c>
      <c r="L67" s="13"/>
      <c r="M67" s="12" t="s">
        <v>165</v>
      </c>
      <c r="N67" s="14" t="s">
        <v>49</v>
      </c>
      <c r="O67" s="14" t="s">
        <v>49</v>
      </c>
      <c r="P67" s="14" t="s">
        <v>49</v>
      </c>
      <c r="Q67" s="15" t="s">
        <v>50</v>
      </c>
      <c r="R67" s="15" t="s">
        <v>50</v>
      </c>
      <c r="S67" s="13" t="s">
        <v>49</v>
      </c>
      <c r="T67" s="13" t="s">
        <v>49</v>
      </c>
      <c r="U67" s="13" t="s">
        <v>59</v>
      </c>
      <c r="V67" s="13" t="s">
        <v>53</v>
      </c>
      <c r="W67" s="13"/>
      <c r="X67" s="13"/>
      <c r="Y67" s="13"/>
      <c r="Z67" s="13"/>
      <c r="AA67" s="13"/>
      <c r="AB67" s="13"/>
      <c r="AC67" s="13"/>
      <c r="AD67" s="13"/>
      <c r="AE67" s="13"/>
      <c r="AF67" s="13"/>
      <c r="AG67" s="12" t="s">
        <v>94</v>
      </c>
      <c r="AH67" s="12"/>
      <c r="AI67" s="12"/>
      <c r="AJ67" s="12" t="s">
        <v>57</v>
      </c>
      <c r="AK67" s="12"/>
    </row>
    <row r="68" customFormat="false" ht="21.75" hidden="false" customHeight="true" outlineLevel="0" collapsed="false">
      <c r="A68" s="17" t="n">
        <v>66</v>
      </c>
      <c r="B68" s="18" t="s">
        <v>196</v>
      </c>
      <c r="C68" s="18" t="s">
        <v>216</v>
      </c>
      <c r="D68" s="19" t="s">
        <v>221</v>
      </c>
      <c r="E68" s="20" t="s">
        <v>66</v>
      </c>
      <c r="F68" s="19"/>
      <c r="G68" s="19"/>
      <c r="H68" s="19" t="s">
        <v>222</v>
      </c>
      <c r="I68" s="20" t="s">
        <v>223</v>
      </c>
      <c r="J68" s="19" t="s">
        <v>224</v>
      </c>
      <c r="K68" s="20" t="s">
        <v>225</v>
      </c>
      <c r="L68" s="20"/>
      <c r="M68" s="19" t="s">
        <v>165</v>
      </c>
      <c r="N68" s="14" t="s">
        <v>49</v>
      </c>
      <c r="O68" s="14" t="s">
        <v>49</v>
      </c>
      <c r="P68" s="14" t="s">
        <v>49</v>
      </c>
      <c r="Q68" s="15" t="s">
        <v>50</v>
      </c>
      <c r="R68" s="14" t="s">
        <v>49</v>
      </c>
      <c r="S68" s="20" t="s">
        <v>49</v>
      </c>
      <c r="T68" s="20" t="s">
        <v>49</v>
      </c>
      <c r="U68" s="20" t="s">
        <v>101</v>
      </c>
      <c r="V68" s="20" t="s">
        <v>53</v>
      </c>
      <c r="W68" s="20"/>
      <c r="X68" s="20"/>
      <c r="Y68" s="20"/>
      <c r="Z68" s="20"/>
      <c r="AA68" s="20"/>
      <c r="AB68" s="20"/>
      <c r="AC68" s="20"/>
      <c r="AD68" s="20"/>
      <c r="AE68" s="20"/>
      <c r="AF68" s="20"/>
      <c r="AG68" s="19" t="s">
        <v>94</v>
      </c>
      <c r="AH68" s="19"/>
      <c r="AI68" s="19"/>
      <c r="AJ68" s="19" t="s">
        <v>226</v>
      </c>
      <c r="AK68" s="19" t="s">
        <v>227</v>
      </c>
    </row>
    <row r="69" customFormat="false" ht="21.75" hidden="false" customHeight="true" outlineLevel="0" collapsed="false">
      <c r="A69" s="10" t="n">
        <v>67</v>
      </c>
      <c r="B69" s="11" t="s">
        <v>196</v>
      </c>
      <c r="C69" s="11" t="s">
        <v>216</v>
      </c>
      <c r="D69" s="12" t="s">
        <v>228</v>
      </c>
      <c r="E69" s="13" t="s">
        <v>66</v>
      </c>
      <c r="F69" s="12"/>
      <c r="G69" s="12"/>
      <c r="H69" s="12"/>
      <c r="I69" s="13"/>
      <c r="J69" s="12"/>
      <c r="K69" s="13" t="s">
        <v>47</v>
      </c>
      <c r="L69" s="13"/>
      <c r="M69" s="12" t="s">
        <v>165</v>
      </c>
      <c r="N69" s="14" t="s">
        <v>49</v>
      </c>
      <c r="O69" s="14" t="s">
        <v>49</v>
      </c>
      <c r="P69" s="14" t="s">
        <v>49</v>
      </c>
      <c r="Q69" s="14" t="s">
        <v>49</v>
      </c>
      <c r="R69" s="14" t="s">
        <v>49</v>
      </c>
      <c r="S69" s="13" t="s">
        <v>50</v>
      </c>
      <c r="T69" s="13" t="s">
        <v>50</v>
      </c>
      <c r="U69" s="13" t="s">
        <v>101</v>
      </c>
      <c r="V69" s="13" t="s">
        <v>53</v>
      </c>
      <c r="W69" s="13"/>
      <c r="X69" s="13"/>
      <c r="Y69" s="13"/>
      <c r="Z69" s="13"/>
      <c r="AA69" s="13"/>
      <c r="AB69" s="13"/>
      <c r="AC69" s="13"/>
      <c r="AD69" s="13"/>
      <c r="AE69" s="13"/>
      <c r="AF69" s="13"/>
      <c r="AG69" s="12" t="s">
        <v>94</v>
      </c>
      <c r="AH69" s="12"/>
      <c r="AI69" s="12"/>
      <c r="AJ69" s="12" t="s">
        <v>57</v>
      </c>
      <c r="AK69" s="12"/>
    </row>
    <row r="70" customFormat="false" ht="21.75" hidden="false" customHeight="true" outlineLevel="0" collapsed="false">
      <c r="A70" s="17" t="n">
        <v>68</v>
      </c>
      <c r="B70" s="18" t="s">
        <v>196</v>
      </c>
      <c r="C70" s="18" t="s">
        <v>216</v>
      </c>
      <c r="D70" s="19" t="s">
        <v>229</v>
      </c>
      <c r="E70" s="20" t="s">
        <v>66</v>
      </c>
      <c r="F70" s="19"/>
      <c r="G70" s="19"/>
      <c r="H70" s="19"/>
      <c r="I70" s="20"/>
      <c r="J70" s="19"/>
      <c r="K70" s="20" t="s">
        <v>47</v>
      </c>
      <c r="L70" s="20"/>
      <c r="M70" s="19" t="s">
        <v>79</v>
      </c>
      <c r="N70" s="14" t="s">
        <v>49</v>
      </c>
      <c r="O70" s="14" t="s">
        <v>49</v>
      </c>
      <c r="P70" s="14" t="s">
        <v>49</v>
      </c>
      <c r="Q70" s="14" t="s">
        <v>49</v>
      </c>
      <c r="R70" s="14" t="s">
        <v>49</v>
      </c>
      <c r="S70" s="20" t="s">
        <v>50</v>
      </c>
      <c r="T70" s="20" t="s">
        <v>50</v>
      </c>
      <c r="U70" s="20" t="s">
        <v>59</v>
      </c>
      <c r="V70" s="20" t="s">
        <v>53</v>
      </c>
      <c r="W70" s="20"/>
      <c r="X70" s="20"/>
      <c r="Y70" s="20"/>
      <c r="Z70" s="20"/>
      <c r="AA70" s="20"/>
      <c r="AB70" s="20"/>
      <c r="AC70" s="20"/>
      <c r="AD70" s="20"/>
      <c r="AE70" s="20"/>
      <c r="AF70" s="20"/>
      <c r="AG70" s="19" t="s">
        <v>94</v>
      </c>
      <c r="AH70" s="19"/>
      <c r="AI70" s="19"/>
      <c r="AJ70" s="19" t="s">
        <v>57</v>
      </c>
      <c r="AK70" s="19"/>
    </row>
    <row r="71" customFormat="false" ht="21.75" hidden="false" customHeight="true" outlineLevel="0" collapsed="false">
      <c r="A71" s="10" t="n">
        <v>69</v>
      </c>
      <c r="B71" s="11" t="s">
        <v>196</v>
      </c>
      <c r="C71" s="11" t="s">
        <v>216</v>
      </c>
      <c r="D71" s="12" t="s">
        <v>230</v>
      </c>
      <c r="E71" s="13" t="s">
        <v>66</v>
      </c>
      <c r="F71" s="12"/>
      <c r="G71" s="12"/>
      <c r="H71" s="12"/>
      <c r="I71" s="13"/>
      <c r="J71" s="12"/>
      <c r="K71" s="13" t="s">
        <v>47</v>
      </c>
      <c r="L71" s="13"/>
      <c r="M71" s="12" t="s">
        <v>165</v>
      </c>
      <c r="N71" s="14" t="s">
        <v>49</v>
      </c>
      <c r="O71" s="14" t="s">
        <v>49</v>
      </c>
      <c r="P71" s="14" t="s">
        <v>49</v>
      </c>
      <c r="Q71" s="14" t="s">
        <v>49</v>
      </c>
      <c r="R71" s="14" t="s">
        <v>49</v>
      </c>
      <c r="S71" s="13" t="s">
        <v>49</v>
      </c>
      <c r="T71" s="13" t="s">
        <v>49</v>
      </c>
      <c r="U71" s="13" t="s">
        <v>59</v>
      </c>
      <c r="V71" s="13" t="s">
        <v>53</v>
      </c>
      <c r="W71" s="13"/>
      <c r="X71" s="13"/>
      <c r="Y71" s="13"/>
      <c r="Z71" s="13"/>
      <c r="AA71" s="13"/>
      <c r="AB71" s="13"/>
      <c r="AC71" s="13"/>
      <c r="AD71" s="13"/>
      <c r="AE71" s="13"/>
      <c r="AF71" s="13"/>
      <c r="AG71" s="12" t="s">
        <v>94</v>
      </c>
      <c r="AH71" s="12"/>
      <c r="AI71" s="12"/>
      <c r="AJ71" s="12" t="s">
        <v>57</v>
      </c>
      <c r="AK71" s="12"/>
    </row>
    <row r="72" customFormat="false" ht="21.75" hidden="false" customHeight="true" outlineLevel="0" collapsed="false">
      <c r="A72" s="17" t="n">
        <v>70</v>
      </c>
      <c r="B72" s="18" t="s">
        <v>196</v>
      </c>
      <c r="C72" s="18" t="s">
        <v>216</v>
      </c>
      <c r="D72" s="19" t="s">
        <v>231</v>
      </c>
      <c r="E72" s="20" t="s">
        <v>66</v>
      </c>
      <c r="F72" s="19"/>
      <c r="G72" s="19"/>
      <c r="H72" s="19"/>
      <c r="I72" s="20"/>
      <c r="J72" s="19"/>
      <c r="K72" s="20" t="s">
        <v>47</v>
      </c>
      <c r="L72" s="20"/>
      <c r="M72" s="19" t="s">
        <v>165</v>
      </c>
      <c r="N72" s="14" t="s">
        <v>49</v>
      </c>
      <c r="O72" s="14" t="s">
        <v>49</v>
      </c>
      <c r="P72" s="14" t="s">
        <v>49</v>
      </c>
      <c r="Q72" s="14" t="s">
        <v>49</v>
      </c>
      <c r="R72" s="14" t="s">
        <v>49</v>
      </c>
      <c r="S72" s="20" t="s">
        <v>49</v>
      </c>
      <c r="T72" s="20" t="s">
        <v>49</v>
      </c>
      <c r="U72" s="20" t="s">
        <v>59</v>
      </c>
      <c r="V72" s="20" t="s">
        <v>53</v>
      </c>
      <c r="W72" s="20"/>
      <c r="X72" s="20"/>
      <c r="Y72" s="20"/>
      <c r="Z72" s="20"/>
      <c r="AA72" s="20"/>
      <c r="AB72" s="20"/>
      <c r="AC72" s="20"/>
      <c r="AD72" s="20"/>
      <c r="AE72" s="20"/>
      <c r="AF72" s="20"/>
      <c r="AG72" s="19" t="s">
        <v>94</v>
      </c>
      <c r="AH72" s="19"/>
      <c r="AI72" s="19"/>
      <c r="AJ72" s="19" t="s">
        <v>57</v>
      </c>
      <c r="AK72" s="19"/>
    </row>
    <row r="73" customFormat="false" ht="32.25" hidden="false" customHeight="true" outlineLevel="0" collapsed="false">
      <c r="A73" s="10" t="n">
        <v>71</v>
      </c>
      <c r="B73" s="11" t="s">
        <v>196</v>
      </c>
      <c r="C73" s="11" t="s">
        <v>232</v>
      </c>
      <c r="D73" s="12" t="s">
        <v>233</v>
      </c>
      <c r="E73" s="13" t="s">
        <v>44</v>
      </c>
      <c r="F73" s="12"/>
      <c r="G73" s="12"/>
      <c r="H73" s="12" t="s">
        <v>176</v>
      </c>
      <c r="I73" s="13" t="s">
        <v>234</v>
      </c>
      <c r="J73" s="12" t="s">
        <v>235</v>
      </c>
      <c r="K73" s="13" t="s">
        <v>47</v>
      </c>
      <c r="L73" s="13"/>
      <c r="M73" s="12" t="s">
        <v>79</v>
      </c>
      <c r="N73" s="15" t="s">
        <v>50</v>
      </c>
      <c r="O73" s="15" t="s">
        <v>50</v>
      </c>
      <c r="P73" s="16" t="s">
        <v>51</v>
      </c>
      <c r="Q73" s="15" t="s">
        <v>50</v>
      </c>
      <c r="R73" s="16" t="s">
        <v>51</v>
      </c>
      <c r="S73" s="13" t="s">
        <v>50</v>
      </c>
      <c r="T73" s="13" t="s">
        <v>49</v>
      </c>
      <c r="U73" s="13" t="s">
        <v>59</v>
      </c>
      <c r="V73" s="13" t="s">
        <v>60</v>
      </c>
      <c r="W73" s="15" t="s">
        <v>50</v>
      </c>
      <c r="X73" s="22" t="s">
        <v>62</v>
      </c>
      <c r="Y73" s="15" t="s">
        <v>50</v>
      </c>
      <c r="Z73" s="22" t="s">
        <v>62</v>
      </c>
      <c r="AA73" s="16" t="s">
        <v>51</v>
      </c>
      <c r="AB73" s="14" t="s">
        <v>49</v>
      </c>
      <c r="AC73" s="14" t="s">
        <v>49</v>
      </c>
      <c r="AD73" s="15" t="s">
        <v>50</v>
      </c>
      <c r="AE73" s="14" t="s">
        <v>49</v>
      </c>
      <c r="AF73" s="14" t="s">
        <v>49</v>
      </c>
      <c r="AG73" s="12" t="s">
        <v>63</v>
      </c>
      <c r="AH73" s="12"/>
      <c r="AI73" s="12"/>
      <c r="AJ73" s="12" t="s">
        <v>64</v>
      </c>
      <c r="AK73" s="12"/>
    </row>
    <row r="74" customFormat="false" ht="21.75" hidden="false" customHeight="true" outlineLevel="0" collapsed="false">
      <c r="A74" s="17" t="n">
        <v>72</v>
      </c>
      <c r="B74" s="18" t="s">
        <v>196</v>
      </c>
      <c r="C74" s="18" t="s">
        <v>232</v>
      </c>
      <c r="D74" s="19" t="s">
        <v>236</v>
      </c>
      <c r="E74" s="20" t="s">
        <v>44</v>
      </c>
      <c r="F74" s="19"/>
      <c r="G74" s="19"/>
      <c r="H74" s="19" t="s">
        <v>179</v>
      </c>
      <c r="I74" s="20" t="s">
        <v>237</v>
      </c>
      <c r="J74" s="19" t="s">
        <v>238</v>
      </c>
      <c r="K74" s="20" t="s">
        <v>47</v>
      </c>
      <c r="L74" s="20"/>
      <c r="M74" s="19" t="s">
        <v>79</v>
      </c>
      <c r="N74" s="14" t="s">
        <v>49</v>
      </c>
      <c r="O74" s="14" t="s">
        <v>49</v>
      </c>
      <c r="P74" s="14" t="s">
        <v>49</v>
      </c>
      <c r="Q74" s="14" t="s">
        <v>49</v>
      </c>
      <c r="R74" s="15" t="s">
        <v>50</v>
      </c>
      <c r="S74" s="20" t="s">
        <v>50</v>
      </c>
      <c r="T74" s="20" t="s">
        <v>49</v>
      </c>
      <c r="U74" s="20" t="s">
        <v>59</v>
      </c>
      <c r="V74" s="20" t="s">
        <v>53</v>
      </c>
      <c r="W74" s="20"/>
      <c r="X74" s="20"/>
      <c r="Y74" s="20"/>
      <c r="Z74" s="20"/>
      <c r="AA74" s="20"/>
      <c r="AB74" s="20"/>
      <c r="AC74" s="20"/>
      <c r="AD74" s="20"/>
      <c r="AE74" s="20"/>
      <c r="AF74" s="20"/>
      <c r="AG74" s="19" t="s">
        <v>94</v>
      </c>
      <c r="AH74" s="19"/>
      <c r="AI74" s="19"/>
      <c r="AJ74" s="19" t="s">
        <v>57</v>
      </c>
      <c r="AK74" s="19"/>
    </row>
    <row r="75" customFormat="false" ht="21.75" hidden="false" customHeight="true" outlineLevel="0" collapsed="false">
      <c r="A75" s="10" t="n">
        <v>73</v>
      </c>
      <c r="B75" s="11" t="s">
        <v>196</v>
      </c>
      <c r="C75" s="11" t="s">
        <v>232</v>
      </c>
      <c r="D75" s="12" t="s">
        <v>239</v>
      </c>
      <c r="E75" s="13" t="s">
        <v>66</v>
      </c>
      <c r="F75" s="12"/>
      <c r="G75" s="12"/>
      <c r="H75" s="12"/>
      <c r="I75" s="13"/>
      <c r="J75" s="12"/>
      <c r="K75" s="13" t="s">
        <v>47</v>
      </c>
      <c r="L75" s="13"/>
      <c r="M75" s="12" t="s">
        <v>79</v>
      </c>
      <c r="N75" s="14" t="s">
        <v>49</v>
      </c>
      <c r="O75" s="14" t="s">
        <v>49</v>
      </c>
      <c r="P75" s="14" t="s">
        <v>49</v>
      </c>
      <c r="Q75" s="14" t="s">
        <v>49</v>
      </c>
      <c r="R75" s="15" t="s">
        <v>50</v>
      </c>
      <c r="S75" s="13" t="s">
        <v>50</v>
      </c>
      <c r="T75" s="13" t="s">
        <v>49</v>
      </c>
      <c r="U75" s="13" t="s">
        <v>59</v>
      </c>
      <c r="V75" s="13" t="s">
        <v>53</v>
      </c>
      <c r="W75" s="13"/>
      <c r="X75" s="13"/>
      <c r="Y75" s="13"/>
      <c r="Z75" s="13"/>
      <c r="AA75" s="13"/>
      <c r="AB75" s="13"/>
      <c r="AC75" s="13"/>
      <c r="AD75" s="13"/>
      <c r="AE75" s="13"/>
      <c r="AF75" s="13"/>
      <c r="AG75" s="12" t="s">
        <v>94</v>
      </c>
      <c r="AH75" s="12" t="s">
        <v>72</v>
      </c>
      <c r="AI75" s="12"/>
      <c r="AJ75" s="12" t="s">
        <v>57</v>
      </c>
      <c r="AK75" s="12"/>
    </row>
    <row r="76" customFormat="false" ht="21.75" hidden="false" customHeight="true" outlineLevel="0" collapsed="false">
      <c r="A76" s="17" t="n">
        <v>74</v>
      </c>
      <c r="B76" s="18" t="s">
        <v>196</v>
      </c>
      <c r="C76" s="18" t="s">
        <v>232</v>
      </c>
      <c r="D76" s="19" t="s">
        <v>240</v>
      </c>
      <c r="E76" s="20" t="s">
        <v>44</v>
      </c>
      <c r="F76" s="19"/>
      <c r="G76" s="19"/>
      <c r="H76" s="19" t="s">
        <v>179</v>
      </c>
      <c r="I76" s="20" t="s">
        <v>241</v>
      </c>
      <c r="J76" s="19" t="s">
        <v>242</v>
      </c>
      <c r="K76" s="20" t="s">
        <v>47</v>
      </c>
      <c r="L76" s="20"/>
      <c r="M76" s="19" t="s">
        <v>165</v>
      </c>
      <c r="N76" s="14" t="s">
        <v>49</v>
      </c>
      <c r="O76" s="14" t="s">
        <v>49</v>
      </c>
      <c r="P76" s="15" t="s">
        <v>50</v>
      </c>
      <c r="Q76" s="14" t="s">
        <v>49</v>
      </c>
      <c r="R76" s="15" t="s">
        <v>50</v>
      </c>
      <c r="S76" s="20" t="s">
        <v>50</v>
      </c>
      <c r="T76" s="20" t="s">
        <v>49</v>
      </c>
      <c r="U76" s="20" t="s">
        <v>59</v>
      </c>
      <c r="V76" s="20" t="s">
        <v>53</v>
      </c>
      <c r="W76" s="20"/>
      <c r="X76" s="20"/>
      <c r="Y76" s="20"/>
      <c r="Z76" s="20"/>
      <c r="AA76" s="20"/>
      <c r="AB76" s="20"/>
      <c r="AC76" s="20"/>
      <c r="AD76" s="20"/>
      <c r="AE76" s="20"/>
      <c r="AF76" s="20"/>
      <c r="AG76" s="19" t="s">
        <v>68</v>
      </c>
      <c r="AH76" s="19"/>
      <c r="AI76" s="19"/>
      <c r="AJ76" s="19" t="s">
        <v>57</v>
      </c>
      <c r="AK76" s="19"/>
    </row>
    <row r="77" customFormat="false" ht="21.75" hidden="false" customHeight="true" outlineLevel="0" collapsed="false">
      <c r="A77" s="10" t="n">
        <v>75</v>
      </c>
      <c r="B77" s="11" t="s">
        <v>196</v>
      </c>
      <c r="C77" s="11" t="s">
        <v>232</v>
      </c>
      <c r="D77" s="12" t="s">
        <v>243</v>
      </c>
      <c r="E77" s="13" t="s">
        <v>44</v>
      </c>
      <c r="F77" s="12"/>
      <c r="G77" s="12"/>
      <c r="H77" s="12" t="s">
        <v>244</v>
      </c>
      <c r="I77" s="13" t="s">
        <v>245</v>
      </c>
      <c r="J77" s="12" t="s">
        <v>246</v>
      </c>
      <c r="K77" s="13" t="s">
        <v>47</v>
      </c>
      <c r="L77" s="13"/>
      <c r="M77" s="12" t="s">
        <v>165</v>
      </c>
      <c r="N77" s="14" t="s">
        <v>49</v>
      </c>
      <c r="O77" s="14" t="s">
        <v>49</v>
      </c>
      <c r="P77" s="15" t="s">
        <v>50</v>
      </c>
      <c r="Q77" s="14" t="s">
        <v>49</v>
      </c>
      <c r="R77" s="15" t="s">
        <v>50</v>
      </c>
      <c r="S77" s="13" t="s">
        <v>50</v>
      </c>
      <c r="T77" s="13" t="s">
        <v>49</v>
      </c>
      <c r="U77" s="13" t="s">
        <v>59</v>
      </c>
      <c r="V77" s="13" t="s">
        <v>53</v>
      </c>
      <c r="W77" s="13"/>
      <c r="X77" s="13"/>
      <c r="Y77" s="13"/>
      <c r="Z77" s="13"/>
      <c r="AA77" s="13"/>
      <c r="AB77" s="13"/>
      <c r="AC77" s="13"/>
      <c r="AD77" s="13"/>
      <c r="AE77" s="13"/>
      <c r="AF77" s="13"/>
      <c r="AG77" s="12" t="s">
        <v>68</v>
      </c>
      <c r="AH77" s="12"/>
      <c r="AI77" s="12"/>
      <c r="AJ77" s="12" t="s">
        <v>57</v>
      </c>
      <c r="AK77" s="12"/>
    </row>
    <row r="78" customFormat="false" ht="21.75" hidden="false" customHeight="true" outlineLevel="0" collapsed="false">
      <c r="A78" s="17" t="n">
        <v>76</v>
      </c>
      <c r="B78" s="18" t="s">
        <v>196</v>
      </c>
      <c r="C78" s="18" t="s">
        <v>232</v>
      </c>
      <c r="D78" s="19" t="s">
        <v>247</v>
      </c>
      <c r="E78" s="20" t="s">
        <v>66</v>
      </c>
      <c r="F78" s="19"/>
      <c r="G78" s="19"/>
      <c r="H78" s="19"/>
      <c r="I78" s="20"/>
      <c r="J78" s="19"/>
      <c r="K78" s="20" t="s">
        <v>47</v>
      </c>
      <c r="L78" s="20"/>
      <c r="M78" s="19" t="s">
        <v>165</v>
      </c>
      <c r="N78" s="14" t="s">
        <v>49</v>
      </c>
      <c r="O78" s="14" t="s">
        <v>49</v>
      </c>
      <c r="P78" s="15" t="s">
        <v>50</v>
      </c>
      <c r="Q78" s="14" t="s">
        <v>49</v>
      </c>
      <c r="R78" s="15" t="s">
        <v>50</v>
      </c>
      <c r="S78" s="20" t="s">
        <v>49</v>
      </c>
      <c r="T78" s="20" t="s">
        <v>49</v>
      </c>
      <c r="U78" s="20" t="s">
        <v>59</v>
      </c>
      <c r="V78" s="20" t="s">
        <v>53</v>
      </c>
      <c r="W78" s="20"/>
      <c r="X78" s="20"/>
      <c r="Y78" s="20"/>
      <c r="Z78" s="20"/>
      <c r="AA78" s="20"/>
      <c r="AB78" s="20"/>
      <c r="AC78" s="20"/>
      <c r="AD78" s="20"/>
      <c r="AE78" s="20"/>
      <c r="AF78" s="20"/>
      <c r="AG78" s="19" t="s">
        <v>68</v>
      </c>
      <c r="AH78" s="19"/>
      <c r="AI78" s="19"/>
      <c r="AJ78" s="19" t="s">
        <v>57</v>
      </c>
      <c r="AK78" s="19"/>
    </row>
    <row r="79" customFormat="false" ht="21.75" hidden="false" customHeight="true" outlineLevel="0" collapsed="false">
      <c r="A79" s="10" t="n">
        <v>77</v>
      </c>
      <c r="B79" s="11" t="s">
        <v>196</v>
      </c>
      <c r="C79" s="11" t="s">
        <v>232</v>
      </c>
      <c r="D79" s="12" t="s">
        <v>248</v>
      </c>
      <c r="E79" s="13" t="s">
        <v>66</v>
      </c>
      <c r="F79" s="12"/>
      <c r="G79" s="12"/>
      <c r="H79" s="12"/>
      <c r="I79" s="13"/>
      <c r="J79" s="12"/>
      <c r="K79" s="13" t="s">
        <v>47</v>
      </c>
      <c r="L79" s="13"/>
      <c r="M79" s="12" t="s">
        <v>165</v>
      </c>
      <c r="N79" s="14" t="s">
        <v>49</v>
      </c>
      <c r="O79" s="14" t="s">
        <v>49</v>
      </c>
      <c r="P79" s="14" t="s">
        <v>49</v>
      </c>
      <c r="Q79" s="14" t="s">
        <v>49</v>
      </c>
      <c r="R79" s="15" t="s">
        <v>50</v>
      </c>
      <c r="S79" s="13" t="s">
        <v>50</v>
      </c>
      <c r="T79" s="13" t="s">
        <v>49</v>
      </c>
      <c r="U79" s="13" t="s">
        <v>59</v>
      </c>
      <c r="V79" s="13" t="s">
        <v>53</v>
      </c>
      <c r="W79" s="13"/>
      <c r="X79" s="13"/>
      <c r="Y79" s="13"/>
      <c r="Z79" s="13"/>
      <c r="AA79" s="13"/>
      <c r="AB79" s="13"/>
      <c r="AC79" s="13"/>
      <c r="AD79" s="13"/>
      <c r="AE79" s="13"/>
      <c r="AF79" s="13"/>
      <c r="AG79" s="12" t="s">
        <v>94</v>
      </c>
      <c r="AH79" s="12"/>
      <c r="AI79" s="12"/>
      <c r="AJ79" s="12" t="s">
        <v>57</v>
      </c>
      <c r="AK79" s="12"/>
    </row>
    <row r="80" customFormat="false" ht="42.75" hidden="false" customHeight="true" outlineLevel="0" collapsed="false">
      <c r="A80" s="17" t="n">
        <v>78</v>
      </c>
      <c r="B80" s="18" t="s">
        <v>249</v>
      </c>
      <c r="C80" s="18" t="s">
        <v>250</v>
      </c>
      <c r="D80" s="19" t="s">
        <v>251</v>
      </c>
      <c r="E80" s="20" t="s">
        <v>44</v>
      </c>
      <c r="F80" s="19"/>
      <c r="G80" s="19"/>
      <c r="H80" s="19" t="s">
        <v>252</v>
      </c>
      <c r="I80" s="20" t="s">
        <v>253</v>
      </c>
      <c r="J80" s="19" t="s">
        <v>254</v>
      </c>
      <c r="K80" s="20" t="s">
        <v>47</v>
      </c>
      <c r="L80" s="20"/>
      <c r="M80" s="19" t="s">
        <v>215</v>
      </c>
      <c r="N80" s="15" t="s">
        <v>50</v>
      </c>
      <c r="O80" s="15" t="s">
        <v>50</v>
      </c>
      <c r="P80" s="16" t="s">
        <v>51</v>
      </c>
      <c r="Q80" s="15" t="s">
        <v>50</v>
      </c>
      <c r="R80" s="16" t="s">
        <v>51</v>
      </c>
      <c r="S80" s="20" t="s">
        <v>49</v>
      </c>
      <c r="T80" s="20" t="s">
        <v>49</v>
      </c>
      <c r="U80" s="20" t="s">
        <v>101</v>
      </c>
      <c r="V80" s="20" t="s">
        <v>60</v>
      </c>
      <c r="W80" s="14" t="s">
        <v>49</v>
      </c>
      <c r="X80" s="14" t="s">
        <v>49</v>
      </c>
      <c r="Y80" s="14" t="s">
        <v>49</v>
      </c>
      <c r="Z80" s="15" t="s">
        <v>50</v>
      </c>
      <c r="AA80" s="21" t="s">
        <v>61</v>
      </c>
      <c r="AB80" s="15" t="s">
        <v>50</v>
      </c>
      <c r="AC80" s="15" t="s">
        <v>50</v>
      </c>
      <c r="AD80" s="16" t="s">
        <v>51</v>
      </c>
      <c r="AE80" s="14" t="s">
        <v>49</v>
      </c>
      <c r="AF80" s="22" t="s">
        <v>62</v>
      </c>
      <c r="AG80" s="19" t="s">
        <v>68</v>
      </c>
      <c r="AH80" s="19"/>
      <c r="AI80" s="19"/>
      <c r="AJ80" s="19" t="s">
        <v>64</v>
      </c>
      <c r="AK80" s="19"/>
    </row>
    <row r="81" customFormat="false" ht="42.75" hidden="false" customHeight="true" outlineLevel="0" collapsed="false">
      <c r="A81" s="10" t="n">
        <v>79</v>
      </c>
      <c r="B81" s="11" t="s">
        <v>249</v>
      </c>
      <c r="C81" s="11" t="s">
        <v>250</v>
      </c>
      <c r="D81" s="12" t="s">
        <v>255</v>
      </c>
      <c r="E81" s="13" t="s">
        <v>44</v>
      </c>
      <c r="F81" s="12"/>
      <c r="G81" s="12"/>
      <c r="H81" s="12" t="s">
        <v>256</v>
      </c>
      <c r="I81" s="13" t="s">
        <v>257</v>
      </c>
      <c r="J81" s="12" t="s">
        <v>258</v>
      </c>
      <c r="K81" s="13" t="s">
        <v>47</v>
      </c>
      <c r="L81" s="13"/>
      <c r="M81" s="12" t="s">
        <v>215</v>
      </c>
      <c r="N81" s="14" t="s">
        <v>49</v>
      </c>
      <c r="O81" s="14" t="s">
        <v>49</v>
      </c>
      <c r="P81" s="15" t="s">
        <v>50</v>
      </c>
      <c r="Q81" s="14" t="s">
        <v>49</v>
      </c>
      <c r="R81" s="15" t="s">
        <v>50</v>
      </c>
      <c r="S81" s="13" t="s">
        <v>49</v>
      </c>
      <c r="T81" s="13" t="s">
        <v>49</v>
      </c>
      <c r="U81" s="13" t="s">
        <v>101</v>
      </c>
      <c r="V81" s="13" t="s">
        <v>53</v>
      </c>
      <c r="W81" s="13"/>
      <c r="X81" s="13"/>
      <c r="Y81" s="13"/>
      <c r="Z81" s="13"/>
      <c r="AA81" s="13"/>
      <c r="AB81" s="13"/>
      <c r="AC81" s="13"/>
      <c r="AD81" s="13"/>
      <c r="AE81" s="13"/>
      <c r="AF81" s="13"/>
      <c r="AG81" s="12" t="s">
        <v>94</v>
      </c>
      <c r="AH81" s="12"/>
      <c r="AI81" s="12"/>
      <c r="AJ81" s="12" t="s">
        <v>57</v>
      </c>
      <c r="AK81" s="12"/>
    </row>
    <row r="82" customFormat="false" ht="21.75" hidden="false" customHeight="true" outlineLevel="0" collapsed="false">
      <c r="A82" s="17" t="n">
        <v>80</v>
      </c>
      <c r="B82" s="18" t="s">
        <v>249</v>
      </c>
      <c r="C82" s="18" t="s">
        <v>250</v>
      </c>
      <c r="D82" s="19" t="s">
        <v>259</v>
      </c>
      <c r="E82" s="20" t="s">
        <v>66</v>
      </c>
      <c r="F82" s="19"/>
      <c r="G82" s="19"/>
      <c r="H82" s="19"/>
      <c r="I82" s="20"/>
      <c r="J82" s="19"/>
      <c r="K82" s="20" t="s">
        <v>225</v>
      </c>
      <c r="L82" s="20"/>
      <c r="M82" s="19" t="s">
        <v>215</v>
      </c>
      <c r="N82" s="15" t="s">
        <v>50</v>
      </c>
      <c r="O82" s="15" t="s">
        <v>50</v>
      </c>
      <c r="P82" s="14" t="s">
        <v>49</v>
      </c>
      <c r="Q82" s="15" t="s">
        <v>50</v>
      </c>
      <c r="R82" s="14" t="s">
        <v>49</v>
      </c>
      <c r="S82" s="20" t="s">
        <v>49</v>
      </c>
      <c r="T82" s="20" t="s">
        <v>49</v>
      </c>
      <c r="U82" s="20" t="s">
        <v>101</v>
      </c>
      <c r="V82" s="20" t="s">
        <v>53</v>
      </c>
      <c r="W82" s="20"/>
      <c r="X82" s="20"/>
      <c r="Y82" s="20"/>
      <c r="Z82" s="20"/>
      <c r="AA82" s="20"/>
      <c r="AB82" s="20"/>
      <c r="AC82" s="20"/>
      <c r="AD82" s="20"/>
      <c r="AE82" s="20"/>
      <c r="AF82" s="20"/>
      <c r="AG82" s="19" t="s">
        <v>94</v>
      </c>
      <c r="AH82" s="19"/>
      <c r="AI82" s="19"/>
      <c r="AJ82" s="19" t="s">
        <v>226</v>
      </c>
      <c r="AK82" s="19" t="s">
        <v>227</v>
      </c>
    </row>
    <row r="83" customFormat="false" ht="21.75" hidden="false" customHeight="true" outlineLevel="0" collapsed="false">
      <c r="A83" s="10" t="n">
        <v>81</v>
      </c>
      <c r="B83" s="11" t="s">
        <v>249</v>
      </c>
      <c r="C83" s="11" t="s">
        <v>250</v>
      </c>
      <c r="D83" s="12" t="s">
        <v>260</v>
      </c>
      <c r="E83" s="13" t="s">
        <v>66</v>
      </c>
      <c r="F83" s="12"/>
      <c r="G83" s="12"/>
      <c r="H83" s="12"/>
      <c r="I83" s="13"/>
      <c r="J83" s="12"/>
      <c r="K83" s="13" t="s">
        <v>47</v>
      </c>
      <c r="L83" s="13"/>
      <c r="M83" s="12" t="s">
        <v>165</v>
      </c>
      <c r="N83" s="14" t="s">
        <v>49</v>
      </c>
      <c r="O83" s="14" t="s">
        <v>49</v>
      </c>
      <c r="P83" s="15" t="s">
        <v>50</v>
      </c>
      <c r="Q83" s="15" t="s">
        <v>50</v>
      </c>
      <c r="R83" s="15" t="s">
        <v>50</v>
      </c>
      <c r="S83" s="13" t="s">
        <v>50</v>
      </c>
      <c r="T83" s="13" t="s">
        <v>49</v>
      </c>
      <c r="U83" s="13" t="s">
        <v>59</v>
      </c>
      <c r="V83" s="13" t="s">
        <v>53</v>
      </c>
      <c r="W83" s="13"/>
      <c r="X83" s="13"/>
      <c r="Y83" s="13"/>
      <c r="Z83" s="13"/>
      <c r="AA83" s="13"/>
      <c r="AB83" s="13"/>
      <c r="AC83" s="13"/>
      <c r="AD83" s="13"/>
      <c r="AE83" s="13"/>
      <c r="AF83" s="13"/>
      <c r="AG83" s="12" t="s">
        <v>68</v>
      </c>
      <c r="AH83" s="12"/>
      <c r="AI83" s="12"/>
      <c r="AJ83" s="12" t="s">
        <v>57</v>
      </c>
      <c r="AK83" s="12"/>
    </row>
    <row r="84" customFormat="false" ht="32.25" hidden="false" customHeight="true" outlineLevel="0" collapsed="false">
      <c r="A84" s="17" t="n">
        <v>82</v>
      </c>
      <c r="B84" s="18" t="s">
        <v>249</v>
      </c>
      <c r="C84" s="18" t="s">
        <v>250</v>
      </c>
      <c r="D84" s="19" t="s">
        <v>261</v>
      </c>
      <c r="E84" s="20" t="s">
        <v>66</v>
      </c>
      <c r="F84" s="19"/>
      <c r="G84" s="19"/>
      <c r="H84" s="19"/>
      <c r="I84" s="20"/>
      <c r="J84" s="19"/>
      <c r="K84" s="20" t="s">
        <v>47</v>
      </c>
      <c r="L84" s="20"/>
      <c r="M84" s="19" t="s">
        <v>165</v>
      </c>
      <c r="N84" s="15" t="s">
        <v>50</v>
      </c>
      <c r="O84" s="15" t="s">
        <v>50</v>
      </c>
      <c r="P84" s="16" t="s">
        <v>51</v>
      </c>
      <c r="Q84" s="15" t="s">
        <v>50</v>
      </c>
      <c r="R84" s="16" t="s">
        <v>51</v>
      </c>
      <c r="S84" s="20" t="s">
        <v>50</v>
      </c>
      <c r="T84" s="20" t="s">
        <v>49</v>
      </c>
      <c r="U84" s="20" t="s">
        <v>59</v>
      </c>
      <c r="V84" s="20" t="s">
        <v>60</v>
      </c>
      <c r="W84" s="15" t="s">
        <v>50</v>
      </c>
      <c r="X84" s="15" t="s">
        <v>50</v>
      </c>
      <c r="Y84" s="21" t="s">
        <v>61</v>
      </c>
      <c r="Z84" s="15" t="s">
        <v>50</v>
      </c>
      <c r="AA84" s="15" t="s">
        <v>50</v>
      </c>
      <c r="AB84" s="14" t="s">
        <v>49</v>
      </c>
      <c r="AC84" s="14" t="s">
        <v>49</v>
      </c>
      <c r="AD84" s="22" t="s">
        <v>62</v>
      </c>
      <c r="AE84" s="14" t="s">
        <v>49</v>
      </c>
      <c r="AF84" s="15" t="s">
        <v>50</v>
      </c>
      <c r="AG84" s="19" t="s">
        <v>63</v>
      </c>
      <c r="AH84" s="19" t="s">
        <v>72</v>
      </c>
      <c r="AI84" s="19"/>
      <c r="AJ84" s="19" t="s">
        <v>64</v>
      </c>
      <c r="AK84" s="19"/>
    </row>
    <row r="85" customFormat="false" ht="21.75" hidden="false" customHeight="true" outlineLevel="0" collapsed="false">
      <c r="A85" s="10" t="n">
        <v>83</v>
      </c>
      <c r="B85" s="11" t="s">
        <v>249</v>
      </c>
      <c r="C85" s="11" t="s">
        <v>250</v>
      </c>
      <c r="D85" s="12" t="s">
        <v>262</v>
      </c>
      <c r="E85" s="13" t="s">
        <v>66</v>
      </c>
      <c r="F85" s="12"/>
      <c r="G85" s="12"/>
      <c r="H85" s="12"/>
      <c r="I85" s="13"/>
      <c r="J85" s="12"/>
      <c r="K85" s="13" t="s">
        <v>47</v>
      </c>
      <c r="L85" s="13"/>
      <c r="M85" s="12" t="s">
        <v>165</v>
      </c>
      <c r="N85" s="14" t="s">
        <v>49</v>
      </c>
      <c r="O85" s="14" t="s">
        <v>49</v>
      </c>
      <c r="P85" s="15" t="s">
        <v>50</v>
      </c>
      <c r="Q85" s="14" t="s">
        <v>49</v>
      </c>
      <c r="R85" s="15" t="s">
        <v>50</v>
      </c>
      <c r="S85" s="13" t="s">
        <v>49</v>
      </c>
      <c r="T85" s="13" t="s">
        <v>49</v>
      </c>
      <c r="U85" s="13" t="s">
        <v>101</v>
      </c>
      <c r="V85" s="13" t="s">
        <v>53</v>
      </c>
      <c r="W85" s="13"/>
      <c r="X85" s="13"/>
      <c r="Y85" s="13"/>
      <c r="Z85" s="13"/>
      <c r="AA85" s="13"/>
      <c r="AB85" s="13"/>
      <c r="AC85" s="13"/>
      <c r="AD85" s="13"/>
      <c r="AE85" s="13"/>
      <c r="AF85" s="13"/>
      <c r="AG85" s="12" t="s">
        <v>94</v>
      </c>
      <c r="AH85" s="12"/>
      <c r="AI85" s="12"/>
      <c r="AJ85" s="12" t="s">
        <v>57</v>
      </c>
      <c r="AK85" s="12"/>
    </row>
    <row r="86" customFormat="false" ht="21.75" hidden="false" customHeight="true" outlineLevel="0" collapsed="false">
      <c r="A86" s="17" t="n">
        <v>84</v>
      </c>
      <c r="B86" s="18" t="s">
        <v>249</v>
      </c>
      <c r="C86" s="18" t="s">
        <v>250</v>
      </c>
      <c r="D86" s="19" t="s">
        <v>263</v>
      </c>
      <c r="E86" s="20" t="s">
        <v>66</v>
      </c>
      <c r="F86" s="19"/>
      <c r="G86" s="19"/>
      <c r="H86" s="19"/>
      <c r="I86" s="20"/>
      <c r="J86" s="19"/>
      <c r="K86" s="20" t="s">
        <v>47</v>
      </c>
      <c r="L86" s="20"/>
      <c r="M86" s="19" t="s">
        <v>165</v>
      </c>
      <c r="N86" s="14" t="s">
        <v>49</v>
      </c>
      <c r="O86" s="14" t="s">
        <v>49</v>
      </c>
      <c r="P86" s="14" t="s">
        <v>49</v>
      </c>
      <c r="Q86" s="14" t="s">
        <v>49</v>
      </c>
      <c r="R86" s="14" t="s">
        <v>49</v>
      </c>
      <c r="S86" s="20" t="s">
        <v>50</v>
      </c>
      <c r="T86" s="20" t="s">
        <v>50</v>
      </c>
      <c r="U86" s="20" t="s">
        <v>101</v>
      </c>
      <c r="V86" s="20" t="s">
        <v>53</v>
      </c>
      <c r="W86" s="20"/>
      <c r="X86" s="20"/>
      <c r="Y86" s="20"/>
      <c r="Z86" s="20"/>
      <c r="AA86" s="20"/>
      <c r="AB86" s="20"/>
      <c r="AC86" s="20"/>
      <c r="AD86" s="20"/>
      <c r="AE86" s="20"/>
      <c r="AF86" s="20"/>
      <c r="AG86" s="19" t="s">
        <v>94</v>
      </c>
      <c r="AH86" s="19"/>
      <c r="AI86" s="19"/>
      <c r="AJ86" s="19" t="s">
        <v>57</v>
      </c>
      <c r="AK86" s="19"/>
    </row>
    <row r="87" customFormat="false" ht="21.75" hidden="false" customHeight="true" outlineLevel="0" collapsed="false">
      <c r="A87" s="10" t="n">
        <v>85</v>
      </c>
      <c r="B87" s="11" t="s">
        <v>249</v>
      </c>
      <c r="C87" s="11" t="s">
        <v>250</v>
      </c>
      <c r="D87" s="12" t="s">
        <v>264</v>
      </c>
      <c r="E87" s="13" t="s">
        <v>66</v>
      </c>
      <c r="F87" s="12"/>
      <c r="G87" s="12"/>
      <c r="H87" s="12"/>
      <c r="I87" s="13"/>
      <c r="J87" s="12"/>
      <c r="K87" s="13" t="s">
        <v>47</v>
      </c>
      <c r="L87" s="13"/>
      <c r="M87" s="12" t="s">
        <v>79</v>
      </c>
      <c r="N87" s="15" t="s">
        <v>50</v>
      </c>
      <c r="O87" s="14" t="s">
        <v>49</v>
      </c>
      <c r="P87" s="15" t="s">
        <v>50</v>
      </c>
      <c r="Q87" s="14" t="s">
        <v>49</v>
      </c>
      <c r="R87" s="15" t="s">
        <v>50</v>
      </c>
      <c r="S87" s="13" t="s">
        <v>49</v>
      </c>
      <c r="T87" s="13" t="s">
        <v>49</v>
      </c>
      <c r="U87" s="13" t="s">
        <v>101</v>
      </c>
      <c r="V87" s="13" t="s">
        <v>53</v>
      </c>
      <c r="W87" s="13"/>
      <c r="X87" s="13"/>
      <c r="Y87" s="13"/>
      <c r="Z87" s="13"/>
      <c r="AA87" s="13"/>
      <c r="AB87" s="13"/>
      <c r="AC87" s="13"/>
      <c r="AD87" s="13"/>
      <c r="AE87" s="13"/>
      <c r="AF87" s="13"/>
      <c r="AG87" s="12" t="s">
        <v>68</v>
      </c>
      <c r="AH87" s="12"/>
      <c r="AI87" s="12"/>
      <c r="AJ87" s="12" t="s">
        <v>57</v>
      </c>
      <c r="AK87" s="12"/>
    </row>
    <row r="88" customFormat="false" ht="21.75" hidden="false" customHeight="true" outlineLevel="0" collapsed="false">
      <c r="A88" s="17" t="n">
        <v>86</v>
      </c>
      <c r="B88" s="18" t="s">
        <v>249</v>
      </c>
      <c r="C88" s="18" t="s">
        <v>250</v>
      </c>
      <c r="D88" s="19" t="s">
        <v>265</v>
      </c>
      <c r="E88" s="20" t="s">
        <v>66</v>
      </c>
      <c r="F88" s="19"/>
      <c r="G88" s="19"/>
      <c r="H88" s="19"/>
      <c r="I88" s="20"/>
      <c r="J88" s="19"/>
      <c r="K88" s="20" t="s">
        <v>47</v>
      </c>
      <c r="L88" s="20"/>
      <c r="M88" s="19" t="s">
        <v>165</v>
      </c>
      <c r="N88" s="14" t="s">
        <v>49</v>
      </c>
      <c r="O88" s="15" t="s">
        <v>50</v>
      </c>
      <c r="P88" s="15" t="s">
        <v>50</v>
      </c>
      <c r="Q88" s="15" t="s">
        <v>50</v>
      </c>
      <c r="R88" s="15" t="s">
        <v>50</v>
      </c>
      <c r="S88" s="20" t="s">
        <v>50</v>
      </c>
      <c r="T88" s="20" t="s">
        <v>50</v>
      </c>
      <c r="U88" s="20" t="s">
        <v>101</v>
      </c>
      <c r="V88" s="20" t="s">
        <v>53</v>
      </c>
      <c r="W88" s="20"/>
      <c r="X88" s="20"/>
      <c r="Y88" s="20"/>
      <c r="Z88" s="20"/>
      <c r="AA88" s="20"/>
      <c r="AB88" s="20"/>
      <c r="AC88" s="20"/>
      <c r="AD88" s="20"/>
      <c r="AE88" s="20"/>
      <c r="AF88" s="20"/>
      <c r="AG88" s="19" t="s">
        <v>94</v>
      </c>
      <c r="AH88" s="19"/>
      <c r="AI88" s="19"/>
      <c r="AJ88" s="19" t="s">
        <v>57</v>
      </c>
      <c r="AK88" s="19"/>
    </row>
    <row r="89" customFormat="false" ht="21.75" hidden="false" customHeight="true" outlineLevel="0" collapsed="false">
      <c r="A89" s="10" t="n">
        <v>87</v>
      </c>
      <c r="B89" s="11" t="s">
        <v>249</v>
      </c>
      <c r="C89" s="11" t="s">
        <v>250</v>
      </c>
      <c r="D89" s="12" t="s">
        <v>266</v>
      </c>
      <c r="E89" s="13" t="s">
        <v>66</v>
      </c>
      <c r="F89" s="12"/>
      <c r="G89" s="12"/>
      <c r="H89" s="12"/>
      <c r="I89" s="13"/>
      <c r="J89" s="12"/>
      <c r="K89" s="13" t="s">
        <v>47</v>
      </c>
      <c r="L89" s="13"/>
      <c r="M89" s="12" t="s">
        <v>267</v>
      </c>
      <c r="N89" s="15" t="s">
        <v>50</v>
      </c>
      <c r="O89" s="14" t="s">
        <v>49</v>
      </c>
      <c r="P89" s="15" t="s">
        <v>50</v>
      </c>
      <c r="Q89" s="15" t="s">
        <v>50</v>
      </c>
      <c r="R89" s="16" t="s">
        <v>51</v>
      </c>
      <c r="S89" s="13" t="s">
        <v>50</v>
      </c>
      <c r="T89" s="13" t="s">
        <v>50</v>
      </c>
      <c r="U89" s="13" t="s">
        <v>101</v>
      </c>
      <c r="V89" s="13" t="s">
        <v>53</v>
      </c>
      <c r="W89" s="13"/>
      <c r="X89" s="13"/>
      <c r="Y89" s="13"/>
      <c r="Z89" s="13"/>
      <c r="AA89" s="13"/>
      <c r="AB89" s="13"/>
      <c r="AC89" s="13"/>
      <c r="AD89" s="13"/>
      <c r="AE89" s="13"/>
      <c r="AF89" s="13"/>
      <c r="AG89" s="12" t="s">
        <v>68</v>
      </c>
      <c r="AH89" s="12"/>
      <c r="AI89" s="12"/>
      <c r="AJ89" s="12" t="s">
        <v>57</v>
      </c>
      <c r="AK89" s="12"/>
    </row>
    <row r="90" customFormat="false" ht="21.75" hidden="false" customHeight="true" outlineLevel="0" collapsed="false">
      <c r="A90" s="17" t="n">
        <v>88</v>
      </c>
      <c r="B90" s="18" t="s">
        <v>249</v>
      </c>
      <c r="C90" s="18" t="s">
        <v>250</v>
      </c>
      <c r="D90" s="19" t="s">
        <v>268</v>
      </c>
      <c r="E90" s="20" t="s">
        <v>66</v>
      </c>
      <c r="F90" s="19"/>
      <c r="G90" s="19"/>
      <c r="H90" s="19"/>
      <c r="I90" s="20"/>
      <c r="J90" s="19"/>
      <c r="K90" s="20" t="s">
        <v>47</v>
      </c>
      <c r="L90" s="20"/>
      <c r="M90" s="19" t="s">
        <v>215</v>
      </c>
      <c r="N90" s="14" t="s">
        <v>49</v>
      </c>
      <c r="O90" s="14" t="s">
        <v>49</v>
      </c>
      <c r="P90" s="14" t="s">
        <v>49</v>
      </c>
      <c r="Q90" s="14" t="s">
        <v>49</v>
      </c>
      <c r="R90" s="15" t="s">
        <v>50</v>
      </c>
      <c r="S90" s="20" t="s">
        <v>49</v>
      </c>
      <c r="T90" s="20" t="s">
        <v>49</v>
      </c>
      <c r="U90" s="20" t="s">
        <v>101</v>
      </c>
      <c r="V90" s="20" t="s">
        <v>53</v>
      </c>
      <c r="W90" s="20"/>
      <c r="X90" s="20"/>
      <c r="Y90" s="20"/>
      <c r="Z90" s="20"/>
      <c r="AA90" s="20"/>
      <c r="AB90" s="20"/>
      <c r="AC90" s="20"/>
      <c r="AD90" s="20"/>
      <c r="AE90" s="20"/>
      <c r="AF90" s="20"/>
      <c r="AG90" s="19" t="s">
        <v>94</v>
      </c>
      <c r="AH90" s="19"/>
      <c r="AI90" s="19"/>
      <c r="AJ90" s="19" t="s">
        <v>57</v>
      </c>
      <c r="AK90" s="19"/>
    </row>
    <row r="91" customFormat="false" ht="21.75" hidden="false" customHeight="true" outlineLevel="0" collapsed="false">
      <c r="A91" s="10" t="n">
        <v>89</v>
      </c>
      <c r="B91" s="11" t="s">
        <v>249</v>
      </c>
      <c r="C91" s="11" t="s">
        <v>250</v>
      </c>
      <c r="D91" s="12" t="s">
        <v>269</v>
      </c>
      <c r="E91" s="13" t="s">
        <v>66</v>
      </c>
      <c r="F91" s="12"/>
      <c r="G91" s="12"/>
      <c r="H91" s="12"/>
      <c r="I91" s="13"/>
      <c r="J91" s="12"/>
      <c r="K91" s="13" t="s">
        <v>47</v>
      </c>
      <c r="L91" s="13"/>
      <c r="M91" s="12" t="s">
        <v>215</v>
      </c>
      <c r="N91" s="14" t="s">
        <v>49</v>
      </c>
      <c r="O91" s="14" t="s">
        <v>49</v>
      </c>
      <c r="P91" s="14" t="s">
        <v>49</v>
      </c>
      <c r="Q91" s="14" t="s">
        <v>49</v>
      </c>
      <c r="R91" s="14" t="s">
        <v>49</v>
      </c>
      <c r="S91" s="13" t="s">
        <v>49</v>
      </c>
      <c r="T91" s="13" t="s">
        <v>49</v>
      </c>
      <c r="U91" s="13" t="s">
        <v>101</v>
      </c>
      <c r="V91" s="13" t="s">
        <v>53</v>
      </c>
      <c r="W91" s="13"/>
      <c r="X91" s="13"/>
      <c r="Y91" s="13"/>
      <c r="Z91" s="13"/>
      <c r="AA91" s="13"/>
      <c r="AB91" s="13"/>
      <c r="AC91" s="13"/>
      <c r="AD91" s="13"/>
      <c r="AE91" s="13"/>
      <c r="AF91" s="13"/>
      <c r="AG91" s="12" t="s">
        <v>94</v>
      </c>
      <c r="AH91" s="12"/>
      <c r="AI91" s="12"/>
      <c r="AJ91" s="12" t="s">
        <v>57</v>
      </c>
      <c r="AK91" s="12"/>
    </row>
    <row r="92" customFormat="false" ht="53.25" hidden="false" customHeight="true" outlineLevel="0" collapsed="false">
      <c r="A92" s="17" t="n">
        <v>90</v>
      </c>
      <c r="B92" s="18" t="s">
        <v>249</v>
      </c>
      <c r="C92" s="18" t="s">
        <v>270</v>
      </c>
      <c r="D92" s="19" t="s">
        <v>271</v>
      </c>
      <c r="E92" s="20" t="s">
        <v>44</v>
      </c>
      <c r="F92" s="19" t="s">
        <v>272</v>
      </c>
      <c r="G92" s="19"/>
      <c r="H92" s="19" t="s">
        <v>273</v>
      </c>
      <c r="I92" s="20" t="s">
        <v>274</v>
      </c>
      <c r="J92" s="19" t="s">
        <v>275</v>
      </c>
      <c r="K92" s="20" t="s">
        <v>47</v>
      </c>
      <c r="L92" s="20"/>
      <c r="M92" s="19" t="s">
        <v>79</v>
      </c>
      <c r="N92" s="14" t="s">
        <v>49</v>
      </c>
      <c r="O92" s="15" t="s">
        <v>50</v>
      </c>
      <c r="P92" s="15" t="s">
        <v>50</v>
      </c>
      <c r="Q92" s="16" t="s">
        <v>51</v>
      </c>
      <c r="R92" s="16" t="s">
        <v>51</v>
      </c>
      <c r="S92" s="20" t="s">
        <v>50</v>
      </c>
      <c r="T92" s="20" t="s">
        <v>50</v>
      </c>
      <c r="U92" s="20" t="s">
        <v>101</v>
      </c>
      <c r="V92" s="20" t="s">
        <v>53</v>
      </c>
      <c r="W92" s="20"/>
      <c r="X92" s="20"/>
      <c r="Y92" s="20"/>
      <c r="Z92" s="20"/>
      <c r="AA92" s="20"/>
      <c r="AB92" s="20"/>
      <c r="AC92" s="20"/>
      <c r="AD92" s="20"/>
      <c r="AE92" s="20"/>
      <c r="AF92" s="20"/>
      <c r="AG92" s="19" t="s">
        <v>94</v>
      </c>
      <c r="AH92" s="19"/>
      <c r="AI92" s="19"/>
      <c r="AJ92" s="19" t="s">
        <v>57</v>
      </c>
      <c r="AK92" s="19"/>
    </row>
    <row r="93" customFormat="false" ht="21.75" hidden="false" customHeight="true" outlineLevel="0" collapsed="false">
      <c r="A93" s="10" t="n">
        <v>91</v>
      </c>
      <c r="B93" s="11" t="s">
        <v>249</v>
      </c>
      <c r="C93" s="11" t="s">
        <v>270</v>
      </c>
      <c r="D93" s="12" t="s">
        <v>276</v>
      </c>
      <c r="E93" s="13" t="s">
        <v>44</v>
      </c>
      <c r="F93" s="12" t="s">
        <v>277</v>
      </c>
      <c r="G93" s="12"/>
      <c r="H93" s="12"/>
      <c r="I93" s="13"/>
      <c r="J93" s="12"/>
      <c r="K93" s="13" t="s">
        <v>47</v>
      </c>
      <c r="L93" s="13"/>
      <c r="M93" s="12" t="s">
        <v>79</v>
      </c>
      <c r="N93" s="14" t="s">
        <v>49</v>
      </c>
      <c r="O93" s="14" t="s">
        <v>49</v>
      </c>
      <c r="P93" s="15" t="s">
        <v>50</v>
      </c>
      <c r="Q93" s="15" t="s">
        <v>50</v>
      </c>
      <c r="R93" s="15" t="s">
        <v>50</v>
      </c>
      <c r="S93" s="13" t="s">
        <v>49</v>
      </c>
      <c r="T93" s="13" t="s">
        <v>49</v>
      </c>
      <c r="U93" s="13" t="s">
        <v>101</v>
      </c>
      <c r="V93" s="13" t="s">
        <v>53</v>
      </c>
      <c r="W93" s="13"/>
      <c r="X93" s="13"/>
      <c r="Y93" s="13"/>
      <c r="Z93" s="13"/>
      <c r="AA93" s="13"/>
      <c r="AB93" s="13"/>
      <c r="AC93" s="13"/>
      <c r="AD93" s="13"/>
      <c r="AE93" s="13"/>
      <c r="AF93" s="13"/>
      <c r="AG93" s="12" t="s">
        <v>94</v>
      </c>
      <c r="AH93" s="12"/>
      <c r="AI93" s="12"/>
      <c r="AJ93" s="12" t="s">
        <v>57</v>
      </c>
      <c r="AK93" s="12"/>
    </row>
    <row r="94" customFormat="false" ht="21.75" hidden="false" customHeight="true" outlineLevel="0" collapsed="false">
      <c r="A94" s="17" t="n">
        <v>92</v>
      </c>
      <c r="B94" s="18" t="s">
        <v>249</v>
      </c>
      <c r="C94" s="18" t="s">
        <v>270</v>
      </c>
      <c r="D94" s="19" t="s">
        <v>278</v>
      </c>
      <c r="E94" s="20" t="s">
        <v>66</v>
      </c>
      <c r="F94" s="19"/>
      <c r="G94" s="19"/>
      <c r="H94" s="19"/>
      <c r="I94" s="20"/>
      <c r="J94" s="19"/>
      <c r="K94" s="20" t="s">
        <v>47</v>
      </c>
      <c r="L94" s="20"/>
      <c r="M94" s="19" t="s">
        <v>165</v>
      </c>
      <c r="N94" s="14" t="s">
        <v>49</v>
      </c>
      <c r="O94" s="15" t="s">
        <v>50</v>
      </c>
      <c r="P94" s="15" t="s">
        <v>50</v>
      </c>
      <c r="Q94" s="15" t="s">
        <v>50</v>
      </c>
      <c r="R94" s="16" t="s">
        <v>51</v>
      </c>
      <c r="S94" s="20" t="s">
        <v>50</v>
      </c>
      <c r="T94" s="20" t="s">
        <v>49</v>
      </c>
      <c r="U94" s="20" t="s">
        <v>101</v>
      </c>
      <c r="V94" s="20" t="s">
        <v>53</v>
      </c>
      <c r="W94" s="20"/>
      <c r="X94" s="20"/>
      <c r="Y94" s="20"/>
      <c r="Z94" s="20"/>
      <c r="AA94" s="20"/>
      <c r="AB94" s="20"/>
      <c r="AC94" s="20"/>
      <c r="AD94" s="20"/>
      <c r="AE94" s="20"/>
      <c r="AF94" s="20"/>
      <c r="AG94" s="19" t="s">
        <v>94</v>
      </c>
      <c r="AH94" s="19" t="s">
        <v>72</v>
      </c>
      <c r="AI94" s="19"/>
      <c r="AJ94" s="19" t="s">
        <v>57</v>
      </c>
      <c r="AK94" s="19"/>
    </row>
    <row r="95" customFormat="false" ht="21.75" hidden="false" customHeight="true" outlineLevel="0" collapsed="false">
      <c r="A95" s="10" t="n">
        <v>93</v>
      </c>
      <c r="B95" s="11" t="s">
        <v>249</v>
      </c>
      <c r="C95" s="11" t="s">
        <v>270</v>
      </c>
      <c r="D95" s="12" t="s">
        <v>279</v>
      </c>
      <c r="E95" s="13" t="s">
        <v>66</v>
      </c>
      <c r="F95" s="12"/>
      <c r="G95" s="12"/>
      <c r="H95" s="12"/>
      <c r="I95" s="13"/>
      <c r="J95" s="12"/>
      <c r="K95" s="13" t="s">
        <v>47</v>
      </c>
      <c r="L95" s="13"/>
      <c r="M95" s="12" t="s">
        <v>215</v>
      </c>
      <c r="N95" s="14" t="s">
        <v>49</v>
      </c>
      <c r="O95" s="14" t="s">
        <v>49</v>
      </c>
      <c r="P95" s="15" t="s">
        <v>50</v>
      </c>
      <c r="Q95" s="14" t="s">
        <v>49</v>
      </c>
      <c r="R95" s="15" t="s">
        <v>50</v>
      </c>
      <c r="S95" s="13" t="s">
        <v>49</v>
      </c>
      <c r="T95" s="13" t="s">
        <v>49</v>
      </c>
      <c r="U95" s="13" t="s">
        <v>101</v>
      </c>
      <c r="V95" s="13" t="s">
        <v>53</v>
      </c>
      <c r="W95" s="13"/>
      <c r="X95" s="13"/>
      <c r="Y95" s="13"/>
      <c r="Z95" s="13"/>
      <c r="AA95" s="13"/>
      <c r="AB95" s="13"/>
      <c r="AC95" s="13"/>
      <c r="AD95" s="13"/>
      <c r="AE95" s="13"/>
      <c r="AF95" s="13"/>
      <c r="AG95" s="12" t="s">
        <v>94</v>
      </c>
      <c r="AH95" s="12"/>
      <c r="AI95" s="12"/>
      <c r="AJ95" s="12" t="s">
        <v>57</v>
      </c>
      <c r="AK95" s="12"/>
    </row>
    <row r="96" customFormat="false" ht="21.75" hidden="false" customHeight="true" outlineLevel="0" collapsed="false">
      <c r="A96" s="17" t="n">
        <v>94</v>
      </c>
      <c r="B96" s="18" t="s">
        <v>249</v>
      </c>
      <c r="C96" s="18" t="s">
        <v>270</v>
      </c>
      <c r="D96" s="19" t="s">
        <v>280</v>
      </c>
      <c r="E96" s="20" t="s">
        <v>66</v>
      </c>
      <c r="F96" s="19"/>
      <c r="G96" s="19"/>
      <c r="H96" s="19"/>
      <c r="I96" s="20"/>
      <c r="J96" s="19"/>
      <c r="K96" s="20" t="s">
        <v>47</v>
      </c>
      <c r="L96" s="20"/>
      <c r="M96" s="19" t="s">
        <v>215</v>
      </c>
      <c r="N96" s="15" t="s">
        <v>50</v>
      </c>
      <c r="O96" s="15" t="s">
        <v>50</v>
      </c>
      <c r="P96" s="15" t="s">
        <v>50</v>
      </c>
      <c r="Q96" s="16" t="s">
        <v>51</v>
      </c>
      <c r="R96" s="16" t="s">
        <v>51</v>
      </c>
      <c r="S96" s="20" t="s">
        <v>50</v>
      </c>
      <c r="T96" s="20" t="s">
        <v>49</v>
      </c>
      <c r="U96" s="20" t="s">
        <v>101</v>
      </c>
      <c r="V96" s="20" t="s">
        <v>53</v>
      </c>
      <c r="W96" s="20"/>
      <c r="X96" s="20"/>
      <c r="Y96" s="20"/>
      <c r="Z96" s="20"/>
      <c r="AA96" s="20"/>
      <c r="AB96" s="20"/>
      <c r="AC96" s="20"/>
      <c r="AD96" s="20"/>
      <c r="AE96" s="20"/>
      <c r="AF96" s="20"/>
      <c r="AG96" s="19" t="s">
        <v>68</v>
      </c>
      <c r="AH96" s="19"/>
      <c r="AI96" s="19"/>
      <c r="AJ96" s="19" t="s">
        <v>57</v>
      </c>
      <c r="AK96" s="19"/>
    </row>
    <row r="97" customFormat="false" ht="53.25" hidden="false" customHeight="true" outlineLevel="0" collapsed="false">
      <c r="A97" s="10" t="n">
        <v>95</v>
      </c>
      <c r="B97" s="11" t="s">
        <v>281</v>
      </c>
      <c r="C97" s="11" t="s">
        <v>282</v>
      </c>
      <c r="D97" s="12" t="s">
        <v>283</v>
      </c>
      <c r="E97" s="13" t="s">
        <v>44</v>
      </c>
      <c r="F97" s="12" t="s">
        <v>284</v>
      </c>
      <c r="G97" s="12"/>
      <c r="H97" s="12" t="s">
        <v>285</v>
      </c>
      <c r="I97" s="13" t="s">
        <v>286</v>
      </c>
      <c r="J97" s="12" t="s">
        <v>287</v>
      </c>
      <c r="K97" s="13" t="s">
        <v>47</v>
      </c>
      <c r="L97" s="13"/>
      <c r="M97" s="12" t="s">
        <v>267</v>
      </c>
      <c r="N97" s="16" t="s">
        <v>51</v>
      </c>
      <c r="O97" s="15" t="s">
        <v>50</v>
      </c>
      <c r="P97" s="16" t="s">
        <v>51</v>
      </c>
      <c r="Q97" s="15" t="s">
        <v>50</v>
      </c>
      <c r="R97" s="16" t="s">
        <v>51</v>
      </c>
      <c r="S97" s="13" t="s">
        <v>51</v>
      </c>
      <c r="T97" s="13" t="s">
        <v>50</v>
      </c>
      <c r="U97" s="13" t="s">
        <v>59</v>
      </c>
      <c r="V97" s="13" t="s">
        <v>60</v>
      </c>
      <c r="W97" s="21" t="s">
        <v>61</v>
      </c>
      <c r="X97" s="15" t="s">
        <v>50</v>
      </c>
      <c r="Y97" s="21" t="s">
        <v>61</v>
      </c>
      <c r="Z97" s="15" t="s">
        <v>50</v>
      </c>
      <c r="AA97" s="15" t="s">
        <v>50</v>
      </c>
      <c r="AB97" s="22" t="s">
        <v>62</v>
      </c>
      <c r="AC97" s="14" t="s">
        <v>49</v>
      </c>
      <c r="AD97" s="22" t="s">
        <v>62</v>
      </c>
      <c r="AE97" s="14" t="s">
        <v>49</v>
      </c>
      <c r="AF97" s="15" t="s">
        <v>50</v>
      </c>
      <c r="AG97" s="12" t="s">
        <v>63</v>
      </c>
      <c r="AH97" s="12" t="s">
        <v>72</v>
      </c>
      <c r="AI97" s="12"/>
      <c r="AJ97" s="12" t="s">
        <v>64</v>
      </c>
      <c r="AK97" s="12"/>
    </row>
    <row r="98" customFormat="false" ht="32.25" hidden="false" customHeight="true" outlineLevel="0" collapsed="false">
      <c r="A98" s="17" t="n">
        <v>96</v>
      </c>
      <c r="B98" s="18" t="s">
        <v>281</v>
      </c>
      <c r="C98" s="18" t="s">
        <v>282</v>
      </c>
      <c r="D98" s="19" t="s">
        <v>288</v>
      </c>
      <c r="E98" s="20" t="s">
        <v>44</v>
      </c>
      <c r="F98" s="19" t="s">
        <v>289</v>
      </c>
      <c r="G98" s="19"/>
      <c r="H98" s="19" t="s">
        <v>289</v>
      </c>
      <c r="I98" s="20" t="s">
        <v>290</v>
      </c>
      <c r="J98" s="19" t="s">
        <v>291</v>
      </c>
      <c r="K98" s="20" t="s">
        <v>47</v>
      </c>
      <c r="L98" s="20"/>
      <c r="M98" s="19" t="s">
        <v>267</v>
      </c>
      <c r="N98" s="14" t="s">
        <v>49</v>
      </c>
      <c r="O98" s="15" t="s">
        <v>50</v>
      </c>
      <c r="P98" s="16" t="s">
        <v>51</v>
      </c>
      <c r="Q98" s="15" t="s">
        <v>50</v>
      </c>
      <c r="R98" s="16" t="s">
        <v>51</v>
      </c>
      <c r="S98" s="20" t="s">
        <v>50</v>
      </c>
      <c r="T98" s="20" t="s">
        <v>50</v>
      </c>
      <c r="U98" s="20" t="s">
        <v>59</v>
      </c>
      <c r="V98" s="20" t="s">
        <v>60</v>
      </c>
      <c r="W98" s="21" t="s">
        <v>61</v>
      </c>
      <c r="X98" s="15" t="s">
        <v>50</v>
      </c>
      <c r="Y98" s="15" t="s">
        <v>50</v>
      </c>
      <c r="Z98" s="15" t="s">
        <v>50</v>
      </c>
      <c r="AA98" s="15" t="s">
        <v>50</v>
      </c>
      <c r="AB98" s="14" t="s">
        <v>49</v>
      </c>
      <c r="AC98" s="14" t="s">
        <v>49</v>
      </c>
      <c r="AD98" s="15" t="s">
        <v>50</v>
      </c>
      <c r="AE98" s="14" t="s">
        <v>49</v>
      </c>
      <c r="AF98" s="15" t="s">
        <v>50</v>
      </c>
      <c r="AG98" s="19" t="s">
        <v>63</v>
      </c>
      <c r="AH98" s="19" t="s">
        <v>72</v>
      </c>
      <c r="AI98" s="19"/>
      <c r="AJ98" s="19" t="s">
        <v>64</v>
      </c>
      <c r="AK98" s="19"/>
    </row>
    <row r="99" customFormat="false" ht="21.75" hidden="false" customHeight="true" outlineLevel="0" collapsed="false">
      <c r="A99" s="10" t="n">
        <v>97</v>
      </c>
      <c r="B99" s="11" t="s">
        <v>281</v>
      </c>
      <c r="C99" s="11" t="s">
        <v>282</v>
      </c>
      <c r="D99" s="12" t="s">
        <v>292</v>
      </c>
      <c r="E99" s="13" t="s">
        <v>44</v>
      </c>
      <c r="F99" s="12" t="s">
        <v>293</v>
      </c>
      <c r="G99" s="12"/>
      <c r="H99" s="12" t="s">
        <v>294</v>
      </c>
      <c r="I99" s="13" t="s">
        <v>295</v>
      </c>
      <c r="J99" s="12" t="s">
        <v>296</v>
      </c>
      <c r="K99" s="13" t="s">
        <v>47</v>
      </c>
      <c r="L99" s="13"/>
      <c r="M99" s="12" t="s">
        <v>267</v>
      </c>
      <c r="N99" s="14" t="s">
        <v>49</v>
      </c>
      <c r="O99" s="14" t="s">
        <v>49</v>
      </c>
      <c r="P99" s="15" t="s">
        <v>50</v>
      </c>
      <c r="Q99" s="15" t="s">
        <v>50</v>
      </c>
      <c r="R99" s="15" t="s">
        <v>50</v>
      </c>
      <c r="S99" s="13" t="s">
        <v>51</v>
      </c>
      <c r="T99" s="13" t="s">
        <v>50</v>
      </c>
      <c r="U99" s="13" t="s">
        <v>101</v>
      </c>
      <c r="V99" s="13" t="s">
        <v>53</v>
      </c>
      <c r="W99" s="13"/>
      <c r="X99" s="13"/>
      <c r="Y99" s="13"/>
      <c r="Z99" s="13"/>
      <c r="AA99" s="13"/>
      <c r="AB99" s="13"/>
      <c r="AC99" s="13"/>
      <c r="AD99" s="13"/>
      <c r="AE99" s="13"/>
      <c r="AF99" s="13"/>
      <c r="AG99" s="12" t="s">
        <v>94</v>
      </c>
      <c r="AH99" s="12" t="s">
        <v>72</v>
      </c>
      <c r="AI99" s="12"/>
      <c r="AJ99" s="12" t="s">
        <v>57</v>
      </c>
      <c r="AK99" s="12"/>
    </row>
    <row r="100" customFormat="false" ht="32.25" hidden="false" customHeight="true" outlineLevel="0" collapsed="false">
      <c r="A100" s="17" t="n">
        <v>98</v>
      </c>
      <c r="B100" s="18" t="s">
        <v>281</v>
      </c>
      <c r="C100" s="18" t="s">
        <v>282</v>
      </c>
      <c r="D100" s="19" t="s">
        <v>297</v>
      </c>
      <c r="E100" s="20" t="s">
        <v>66</v>
      </c>
      <c r="F100" s="19"/>
      <c r="G100" s="19"/>
      <c r="H100" s="19"/>
      <c r="I100" s="20"/>
      <c r="J100" s="19"/>
      <c r="K100" s="20" t="s">
        <v>47</v>
      </c>
      <c r="L100" s="20"/>
      <c r="M100" s="19" t="s">
        <v>267</v>
      </c>
      <c r="N100" s="15" t="s">
        <v>50</v>
      </c>
      <c r="O100" s="15" t="s">
        <v>50</v>
      </c>
      <c r="P100" s="16" t="s">
        <v>51</v>
      </c>
      <c r="Q100" s="15" t="s">
        <v>50</v>
      </c>
      <c r="R100" s="16" t="s">
        <v>51</v>
      </c>
      <c r="S100" s="20" t="s">
        <v>50</v>
      </c>
      <c r="T100" s="20" t="s">
        <v>67</v>
      </c>
      <c r="U100" s="20" t="s">
        <v>59</v>
      </c>
      <c r="V100" s="20" t="s">
        <v>60</v>
      </c>
      <c r="W100" s="21" t="s">
        <v>61</v>
      </c>
      <c r="X100" s="21" t="s">
        <v>61</v>
      </c>
      <c r="Y100" s="21" t="s">
        <v>61</v>
      </c>
      <c r="Z100" s="15" t="s">
        <v>50</v>
      </c>
      <c r="AA100" s="15" t="s">
        <v>50</v>
      </c>
      <c r="AB100" s="21" t="s">
        <v>61</v>
      </c>
      <c r="AC100" s="21" t="s">
        <v>61</v>
      </c>
      <c r="AD100" s="22" t="s">
        <v>62</v>
      </c>
      <c r="AE100" s="14" t="s">
        <v>49</v>
      </c>
      <c r="AF100" s="15" t="s">
        <v>50</v>
      </c>
      <c r="AG100" s="19" t="s">
        <v>63</v>
      </c>
      <c r="AH100" s="19"/>
      <c r="AI100" s="19"/>
      <c r="AJ100" s="19" t="s">
        <v>64</v>
      </c>
      <c r="AK100" s="19"/>
    </row>
    <row r="101" customFormat="false" ht="21.75" hidden="false" customHeight="true" outlineLevel="0" collapsed="false">
      <c r="A101" s="10" t="n">
        <v>99</v>
      </c>
      <c r="B101" s="11" t="s">
        <v>281</v>
      </c>
      <c r="C101" s="11" t="s">
        <v>282</v>
      </c>
      <c r="D101" s="12" t="s">
        <v>298</v>
      </c>
      <c r="E101" s="13" t="s">
        <v>66</v>
      </c>
      <c r="F101" s="12"/>
      <c r="G101" s="12"/>
      <c r="H101" s="12"/>
      <c r="I101" s="13"/>
      <c r="J101" s="12"/>
      <c r="K101" s="13" t="s">
        <v>47</v>
      </c>
      <c r="L101" s="13"/>
      <c r="M101" s="12" t="s">
        <v>267</v>
      </c>
      <c r="N101" s="14" t="s">
        <v>49</v>
      </c>
      <c r="O101" s="14" t="s">
        <v>49</v>
      </c>
      <c r="P101" s="15" t="s">
        <v>50</v>
      </c>
      <c r="Q101" s="15" t="s">
        <v>50</v>
      </c>
      <c r="R101" s="15" t="s">
        <v>50</v>
      </c>
      <c r="S101" s="13" t="s">
        <v>51</v>
      </c>
      <c r="T101" s="13" t="s">
        <v>49</v>
      </c>
      <c r="U101" s="13" t="s">
        <v>101</v>
      </c>
      <c r="V101" s="13" t="s">
        <v>53</v>
      </c>
      <c r="W101" s="13"/>
      <c r="X101" s="13"/>
      <c r="Y101" s="13"/>
      <c r="Z101" s="13"/>
      <c r="AA101" s="13"/>
      <c r="AB101" s="13"/>
      <c r="AC101" s="13"/>
      <c r="AD101" s="13"/>
      <c r="AE101" s="13"/>
      <c r="AF101" s="13"/>
      <c r="AG101" s="12" t="s">
        <v>94</v>
      </c>
      <c r="AH101" s="12"/>
      <c r="AI101" s="12"/>
      <c r="AJ101" s="12" t="s">
        <v>57</v>
      </c>
      <c r="AK101" s="12"/>
    </row>
    <row r="102" customFormat="false" ht="21.75" hidden="false" customHeight="true" outlineLevel="0" collapsed="false">
      <c r="A102" s="17" t="n">
        <v>100</v>
      </c>
      <c r="B102" s="18" t="s">
        <v>281</v>
      </c>
      <c r="C102" s="18" t="s">
        <v>282</v>
      </c>
      <c r="D102" s="19" t="s">
        <v>299</v>
      </c>
      <c r="E102" s="20" t="s">
        <v>66</v>
      </c>
      <c r="F102" s="19"/>
      <c r="G102" s="19"/>
      <c r="H102" s="19"/>
      <c r="I102" s="20"/>
      <c r="J102" s="19"/>
      <c r="K102" s="20" t="s">
        <v>47</v>
      </c>
      <c r="L102" s="20"/>
      <c r="M102" s="19" t="s">
        <v>267</v>
      </c>
      <c r="N102" s="15" t="s">
        <v>50</v>
      </c>
      <c r="O102" s="15" t="s">
        <v>50</v>
      </c>
      <c r="P102" s="15" t="s">
        <v>50</v>
      </c>
      <c r="Q102" s="15" t="s">
        <v>50</v>
      </c>
      <c r="R102" s="16" t="s">
        <v>51</v>
      </c>
      <c r="S102" s="20" t="s">
        <v>50</v>
      </c>
      <c r="T102" s="20" t="s">
        <v>49</v>
      </c>
      <c r="U102" s="20" t="s">
        <v>101</v>
      </c>
      <c r="V102" s="20" t="s">
        <v>53</v>
      </c>
      <c r="W102" s="20"/>
      <c r="X102" s="20"/>
      <c r="Y102" s="20"/>
      <c r="Z102" s="20"/>
      <c r="AA102" s="20"/>
      <c r="AB102" s="20"/>
      <c r="AC102" s="20"/>
      <c r="AD102" s="20"/>
      <c r="AE102" s="20"/>
      <c r="AF102" s="20"/>
      <c r="AG102" s="19" t="s">
        <v>68</v>
      </c>
      <c r="AH102" s="19"/>
      <c r="AI102" s="19"/>
      <c r="AJ102" s="19" t="s">
        <v>57</v>
      </c>
      <c r="AK102" s="19"/>
    </row>
    <row r="103" customFormat="false" ht="21.75" hidden="false" customHeight="true" outlineLevel="0" collapsed="false">
      <c r="A103" s="10" t="n">
        <v>101</v>
      </c>
      <c r="B103" s="11" t="s">
        <v>281</v>
      </c>
      <c r="C103" s="11" t="s">
        <v>282</v>
      </c>
      <c r="D103" s="12" t="s">
        <v>300</v>
      </c>
      <c r="E103" s="13" t="s">
        <v>66</v>
      </c>
      <c r="F103" s="12"/>
      <c r="G103" s="12"/>
      <c r="H103" s="12"/>
      <c r="I103" s="13"/>
      <c r="J103" s="12"/>
      <c r="K103" s="13" t="s">
        <v>47</v>
      </c>
      <c r="L103" s="13"/>
      <c r="M103" s="12" t="s">
        <v>267</v>
      </c>
      <c r="N103" s="14" t="s">
        <v>49</v>
      </c>
      <c r="O103" s="14" t="s">
        <v>49</v>
      </c>
      <c r="P103" s="14" t="s">
        <v>49</v>
      </c>
      <c r="Q103" s="14" t="s">
        <v>49</v>
      </c>
      <c r="R103" s="15" t="s">
        <v>50</v>
      </c>
      <c r="S103" s="13" t="s">
        <v>50</v>
      </c>
      <c r="T103" s="13" t="s">
        <v>49</v>
      </c>
      <c r="U103" s="13" t="s">
        <v>101</v>
      </c>
      <c r="V103" s="13" t="s">
        <v>53</v>
      </c>
      <c r="W103" s="13"/>
      <c r="X103" s="13"/>
      <c r="Y103" s="13"/>
      <c r="Z103" s="13"/>
      <c r="AA103" s="13"/>
      <c r="AB103" s="13"/>
      <c r="AC103" s="13"/>
      <c r="AD103" s="13"/>
      <c r="AE103" s="13"/>
      <c r="AF103" s="13"/>
      <c r="AG103" s="12" t="s">
        <v>94</v>
      </c>
      <c r="AH103" s="12" t="s">
        <v>72</v>
      </c>
      <c r="AI103" s="12"/>
      <c r="AJ103" s="12" t="s">
        <v>57</v>
      </c>
      <c r="AK103" s="12"/>
    </row>
    <row r="104" customFormat="false" ht="21.75" hidden="false" customHeight="true" outlineLevel="0" collapsed="false">
      <c r="A104" s="17" t="n">
        <v>102</v>
      </c>
      <c r="B104" s="18" t="s">
        <v>281</v>
      </c>
      <c r="C104" s="18" t="s">
        <v>282</v>
      </c>
      <c r="D104" s="19" t="s">
        <v>301</v>
      </c>
      <c r="E104" s="20" t="s">
        <v>66</v>
      </c>
      <c r="F104" s="19"/>
      <c r="G104" s="19"/>
      <c r="H104" s="19"/>
      <c r="I104" s="20"/>
      <c r="J104" s="19"/>
      <c r="K104" s="20" t="s">
        <v>47</v>
      </c>
      <c r="L104" s="20"/>
      <c r="M104" s="19" t="s">
        <v>267</v>
      </c>
      <c r="N104" s="15" t="s">
        <v>50</v>
      </c>
      <c r="O104" s="15" t="s">
        <v>50</v>
      </c>
      <c r="P104" s="15" t="s">
        <v>50</v>
      </c>
      <c r="Q104" s="15" t="s">
        <v>50</v>
      </c>
      <c r="R104" s="16" t="s">
        <v>51</v>
      </c>
      <c r="S104" s="20" t="s">
        <v>50</v>
      </c>
      <c r="T104" s="20" t="s">
        <v>67</v>
      </c>
      <c r="U104" s="20" t="s">
        <v>101</v>
      </c>
      <c r="V104" s="20" t="s">
        <v>53</v>
      </c>
      <c r="W104" s="20"/>
      <c r="X104" s="20"/>
      <c r="Y104" s="20"/>
      <c r="Z104" s="20"/>
      <c r="AA104" s="20"/>
      <c r="AB104" s="20"/>
      <c r="AC104" s="20"/>
      <c r="AD104" s="20"/>
      <c r="AE104" s="20"/>
      <c r="AF104" s="20"/>
      <c r="AG104" s="19" t="s">
        <v>68</v>
      </c>
      <c r="AH104" s="19"/>
      <c r="AI104" s="19"/>
      <c r="AJ104" s="19" t="s">
        <v>57</v>
      </c>
      <c r="AK104" s="19"/>
    </row>
  </sheetData>
  <autoFilter ref="A2:AK104"/>
  <mergeCells count="4">
    <mergeCell ref="A1:D1"/>
    <mergeCell ref="E1:M1"/>
    <mergeCell ref="N1:U1"/>
    <mergeCell ref="V1:AK1"/>
  </mergeCells>
  <dataValidations count="8">
    <dataValidation allowBlank="true" errorStyle="stop" operator="between" showDropDown="false" showErrorMessage="false" showInputMessage="false" sqref="N3:R104" type="list">
      <formula1>"gering,mittel,hoch"</formula1>
      <formula2>0</formula2>
    </dataValidation>
    <dataValidation allowBlank="true" errorStyle="stop" operator="between" showDropDown="false" showErrorMessage="false" showInputMessage="false" sqref="W3:AF104" type="list">
      <formula1>"gering,gering-mittel,mittel,mittel-hoch,hoch"</formula1>
      <formula2>0</formula2>
    </dataValidation>
    <dataValidation allowBlank="true" errorStyle="stop" operator="between" showDropDown="false" showErrorMessage="false" showInputMessage="false" sqref="S3:T104" type="list">
      <formula1>"sehr gering,gering,mittel,hoch"</formula1>
      <formula2>0</formula2>
    </dataValidation>
    <dataValidation allowBlank="true" errorStyle="stop" operator="between" showDropDown="false" showErrorMessage="false" showInputMessage="false" sqref="U3:U104" type="list">
      <formula1>"&lt; 10,10-50,&gt; 50,keine Reaktion möglich"</formula1>
      <formula2>0</formula2>
    </dataValidation>
    <dataValidation allowBlank="true" errorStyle="stop" operator="between" showDropDown="false" showErrorMessage="false" showInputMessage="false" sqref="M3:M104" type="list">
      <formula1>"Natürliche Systeme und Ressourcen,Naturnutzende Wirtschaftssysteme,Infrastrukturen und Gebäude,Naturferne Wirtschaftssysteme,Menschen und soziale Systeme"</formula1>
      <formula2>0</formula2>
    </dataValidation>
    <dataValidation allowBlank="true" errorStyle="stop" operator="between" showDropDown="false" showErrorMessage="false" showInputMessage="false" sqref="E3:E104" type="list">
      <formula1>"intensiv,extensiv"</formula1>
      <formula2>0</formula2>
    </dataValidation>
    <dataValidation allowBlank="true" errorStyle="stop" operator="between" showDropDown="false" showErrorMessage="false" showInputMessage="false" sqref="K3:K104" type="list">
      <formula1>"Risiko,Chance"</formula1>
      <formula2>0</formula2>
    </dataValidation>
    <dataValidation allowBlank="true" errorStyle="stop" operator="between" showDropDown="false" showErrorMessage="false" showInputMessage="false" sqref="V3:V104"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3" min="3" style="1" width="13"/>
    <col collapsed="false" customWidth="true" hidden="false" outlineLevel="0" max="11" min="4" style="1" width="15"/>
  </cols>
  <sheetData>
    <row r="1" customFormat="false" ht="15.75" hidden="false" customHeight="true" outlineLevel="0" collapsed="false">
      <c r="A1" s="23" t="s">
        <v>302</v>
      </c>
    </row>
    <row r="2" customFormat="false" ht="15" hidden="false" customHeight="true" outlineLevel="0" collapsed="false">
      <c r="A2" s="24" t="s">
        <v>303</v>
      </c>
    </row>
    <row r="4" customFormat="false" ht="42" hidden="false" customHeight="true" outlineLevel="0" collapsed="false">
      <c r="A4" s="25" t="s">
        <v>5</v>
      </c>
      <c r="B4" s="25" t="s">
        <v>6</v>
      </c>
      <c r="C4" s="25" t="s">
        <v>304</v>
      </c>
      <c r="D4" s="26" t="s">
        <v>305</v>
      </c>
      <c r="E4" s="26" t="s">
        <v>306</v>
      </c>
      <c r="F4" s="26" t="s">
        <v>307</v>
      </c>
      <c r="G4" s="27" t="s">
        <v>308</v>
      </c>
      <c r="H4" s="27" t="s">
        <v>309</v>
      </c>
      <c r="I4" s="27" t="s">
        <v>310</v>
      </c>
      <c r="J4" s="27" t="s">
        <v>311</v>
      </c>
      <c r="K4" s="27" t="s">
        <v>312</v>
      </c>
    </row>
    <row r="5" customFormat="false" ht="15" hidden="false" customHeight="true" outlineLevel="0" collapsed="false">
      <c r="A5" s="28" t="s">
        <v>41</v>
      </c>
      <c r="B5" s="29" t="s">
        <v>42</v>
      </c>
      <c r="C5" s="30" t="n">
        <v>9</v>
      </c>
      <c r="D5" s="31" t="s">
        <v>49</v>
      </c>
      <c r="E5" s="32" t="s">
        <v>50</v>
      </c>
      <c r="F5" s="33" t="s">
        <v>62</v>
      </c>
      <c r="G5" s="31" t="s">
        <v>49</v>
      </c>
      <c r="H5" s="34" t="s">
        <v>61</v>
      </c>
      <c r="I5" s="33" t="s">
        <v>62</v>
      </c>
      <c r="J5" s="31" t="s">
        <v>49</v>
      </c>
      <c r="K5" s="32" t="s">
        <v>50</v>
      </c>
    </row>
    <row r="6" customFormat="false" ht="15" hidden="false" customHeight="true" outlineLevel="0" collapsed="false">
      <c r="A6" s="28" t="s">
        <v>41</v>
      </c>
      <c r="B6" s="29" t="s">
        <v>80</v>
      </c>
      <c r="C6" s="30" t="n">
        <v>10</v>
      </c>
      <c r="D6" s="34" t="s">
        <v>61</v>
      </c>
      <c r="E6" s="34" t="s">
        <v>61</v>
      </c>
      <c r="F6" s="33" t="s">
        <v>62</v>
      </c>
      <c r="G6" s="34" t="s">
        <v>61</v>
      </c>
      <c r="H6" s="31" t="s">
        <v>49</v>
      </c>
      <c r="I6" s="32" t="s">
        <v>50</v>
      </c>
      <c r="J6" s="31" t="s">
        <v>49</v>
      </c>
      <c r="K6" s="34" t="s">
        <v>61</v>
      </c>
    </row>
    <row r="7" customFormat="false" ht="15" hidden="false" customHeight="true" outlineLevel="0" collapsed="false">
      <c r="A7" s="28" t="s">
        <v>41</v>
      </c>
      <c r="B7" s="29" t="s">
        <v>104</v>
      </c>
      <c r="C7" s="30" t="n">
        <v>7</v>
      </c>
      <c r="D7" s="32" t="s">
        <v>50</v>
      </c>
      <c r="E7" s="32" t="s">
        <v>50</v>
      </c>
      <c r="F7" s="35" t="s">
        <v>51</v>
      </c>
      <c r="G7" s="32" t="s">
        <v>50</v>
      </c>
      <c r="H7" s="34" t="s">
        <v>61</v>
      </c>
      <c r="I7" s="35" t="s">
        <v>51</v>
      </c>
      <c r="J7" s="31" t="s">
        <v>49</v>
      </c>
      <c r="K7" s="32" t="s">
        <v>50</v>
      </c>
    </row>
    <row r="8" customFormat="false" ht="15" hidden="false" customHeight="true" outlineLevel="0" collapsed="false">
      <c r="A8" s="28" t="s">
        <v>41</v>
      </c>
      <c r="B8" s="29" t="s">
        <v>120</v>
      </c>
      <c r="C8" s="30" t="n">
        <v>6</v>
      </c>
      <c r="D8" s="32" t="s">
        <v>50</v>
      </c>
      <c r="E8" s="32" t="s">
        <v>50</v>
      </c>
      <c r="F8" s="35" t="s">
        <v>51</v>
      </c>
      <c r="G8" s="32" t="s">
        <v>50</v>
      </c>
      <c r="H8" s="34" t="s">
        <v>61</v>
      </c>
      <c r="I8" s="35" t="s">
        <v>51</v>
      </c>
      <c r="J8" s="31" t="s">
        <v>49</v>
      </c>
      <c r="K8" s="33" t="s">
        <v>62</v>
      </c>
    </row>
    <row r="9" customFormat="false" ht="15" hidden="false" customHeight="true" outlineLevel="0" collapsed="false">
      <c r="A9" s="28" t="s">
        <v>135</v>
      </c>
      <c r="B9" s="29" t="s">
        <v>136</v>
      </c>
      <c r="C9" s="30" t="n">
        <v>5</v>
      </c>
      <c r="D9" s="34" t="s">
        <v>61</v>
      </c>
      <c r="E9" s="32" t="s">
        <v>50</v>
      </c>
      <c r="F9" s="35" t="s">
        <v>51</v>
      </c>
      <c r="G9" s="34" t="s">
        <v>61</v>
      </c>
      <c r="H9" s="34" t="s">
        <v>61</v>
      </c>
      <c r="I9" s="33" t="s">
        <v>62</v>
      </c>
      <c r="J9" s="31" t="s">
        <v>49</v>
      </c>
      <c r="K9" s="33" t="s">
        <v>62</v>
      </c>
    </row>
    <row r="10" customFormat="false" ht="15" hidden="false" customHeight="true" outlineLevel="0" collapsed="false">
      <c r="A10" s="28" t="s">
        <v>135</v>
      </c>
      <c r="B10" s="29" t="s">
        <v>150</v>
      </c>
      <c r="C10" s="30" t="n">
        <v>10</v>
      </c>
      <c r="D10" s="32" t="s">
        <v>50</v>
      </c>
      <c r="E10" s="32" t="s">
        <v>50</v>
      </c>
      <c r="F10" s="35" t="s">
        <v>51</v>
      </c>
      <c r="G10" s="34" t="s">
        <v>61</v>
      </c>
      <c r="H10" s="34" t="s">
        <v>61</v>
      </c>
      <c r="I10" s="33" t="s">
        <v>62</v>
      </c>
      <c r="J10" s="31" t="s">
        <v>49</v>
      </c>
      <c r="K10" s="32" t="s">
        <v>50</v>
      </c>
    </row>
    <row r="11" customFormat="false" ht="15" hidden="false" customHeight="true" outlineLevel="0" collapsed="false">
      <c r="A11" s="28" t="s">
        <v>135</v>
      </c>
      <c r="B11" s="29" t="s">
        <v>175</v>
      </c>
      <c r="C11" s="30" t="n">
        <v>11</v>
      </c>
      <c r="D11" s="32" t="s">
        <v>50</v>
      </c>
      <c r="E11" s="32" t="s">
        <v>50</v>
      </c>
      <c r="F11" s="35" t="s">
        <v>51</v>
      </c>
      <c r="G11" s="34" t="s">
        <v>61</v>
      </c>
      <c r="H11" s="34" t="s">
        <v>61</v>
      </c>
      <c r="I11" s="33" t="s">
        <v>62</v>
      </c>
      <c r="J11" s="31" t="s">
        <v>49</v>
      </c>
      <c r="K11" s="32" t="s">
        <v>50</v>
      </c>
    </row>
    <row r="12" customFormat="false" ht="15" hidden="false" customHeight="true" outlineLevel="0" collapsed="false">
      <c r="A12" s="28" t="s">
        <v>196</v>
      </c>
      <c r="B12" s="29" t="s">
        <v>197</v>
      </c>
      <c r="C12" s="30" t="n">
        <v>6</v>
      </c>
      <c r="D12" s="32" t="s">
        <v>50</v>
      </c>
      <c r="E12" s="32" t="s">
        <v>50</v>
      </c>
      <c r="F12" s="33" t="s">
        <v>62</v>
      </c>
      <c r="G12" s="34" t="s">
        <v>61</v>
      </c>
      <c r="H12" s="34" t="s">
        <v>61</v>
      </c>
      <c r="I12" s="32" t="s">
        <v>50</v>
      </c>
      <c r="J12" s="31" t="s">
        <v>49</v>
      </c>
      <c r="K12" s="34" t="s">
        <v>61</v>
      </c>
    </row>
    <row r="13" customFormat="false" ht="15" hidden="false" customHeight="true" outlineLevel="0" collapsed="false">
      <c r="A13" s="28" t="s">
        <v>196</v>
      </c>
      <c r="B13" s="29" t="s">
        <v>216</v>
      </c>
      <c r="C13" s="30" t="n">
        <v>6</v>
      </c>
      <c r="D13" s="31" t="s">
        <v>49</v>
      </c>
      <c r="E13" s="31" t="s">
        <v>49</v>
      </c>
      <c r="F13" s="31" t="s">
        <v>49</v>
      </c>
      <c r="G13" s="31" t="s">
        <v>49</v>
      </c>
      <c r="H13" s="31" t="s">
        <v>49</v>
      </c>
      <c r="I13" s="31" t="s">
        <v>49</v>
      </c>
      <c r="J13" s="31" t="s">
        <v>49</v>
      </c>
      <c r="K13" s="31" t="s">
        <v>49</v>
      </c>
    </row>
    <row r="14" customFormat="false" ht="15" hidden="false" customHeight="true" outlineLevel="0" collapsed="false">
      <c r="A14" s="28" t="s">
        <v>196</v>
      </c>
      <c r="B14" s="29" t="s">
        <v>232</v>
      </c>
      <c r="C14" s="30" t="n">
        <v>7</v>
      </c>
      <c r="D14" s="34" t="s">
        <v>61</v>
      </c>
      <c r="E14" s="31" t="s">
        <v>49</v>
      </c>
      <c r="F14" s="32" t="s">
        <v>50</v>
      </c>
      <c r="G14" s="31" t="s">
        <v>49</v>
      </c>
      <c r="H14" s="31" t="s">
        <v>49</v>
      </c>
      <c r="I14" s="34" t="s">
        <v>61</v>
      </c>
      <c r="J14" s="31" t="s">
        <v>49</v>
      </c>
      <c r="K14" s="31" t="s">
        <v>49</v>
      </c>
    </row>
    <row r="15" customFormat="false" ht="15" hidden="false" customHeight="true" outlineLevel="0" collapsed="false">
      <c r="A15" s="28" t="s">
        <v>249</v>
      </c>
      <c r="B15" s="29" t="s">
        <v>250</v>
      </c>
      <c r="C15" s="30" t="n">
        <v>12</v>
      </c>
      <c r="D15" s="32" t="s">
        <v>50</v>
      </c>
      <c r="E15" s="31" t="s">
        <v>49</v>
      </c>
      <c r="F15" s="32" t="s">
        <v>50</v>
      </c>
      <c r="G15" s="34" t="s">
        <v>61</v>
      </c>
      <c r="H15" s="31" t="s">
        <v>49</v>
      </c>
      <c r="I15" s="32" t="s">
        <v>50</v>
      </c>
      <c r="J15" s="31" t="s">
        <v>49</v>
      </c>
      <c r="K15" s="31" t="s">
        <v>49</v>
      </c>
    </row>
    <row r="16" customFormat="false" ht="15" hidden="false" customHeight="true" outlineLevel="0" collapsed="false">
      <c r="A16" s="28" t="s">
        <v>249</v>
      </c>
      <c r="B16" s="29" t="s">
        <v>270</v>
      </c>
      <c r="C16" s="30" t="n">
        <v>5</v>
      </c>
      <c r="D16" s="31" t="s">
        <v>49</v>
      </c>
      <c r="E16" s="31" t="s">
        <v>49</v>
      </c>
      <c r="F16" s="32" t="s">
        <v>50</v>
      </c>
      <c r="G16" s="31" t="s">
        <v>49</v>
      </c>
      <c r="H16" s="31" t="s">
        <v>49</v>
      </c>
      <c r="I16" s="32" t="s">
        <v>50</v>
      </c>
      <c r="J16" s="31" t="s">
        <v>49</v>
      </c>
      <c r="K16" s="34" t="s">
        <v>61</v>
      </c>
    </row>
    <row r="17" customFormat="false" ht="15" hidden="false" customHeight="true" outlineLevel="0" collapsed="false">
      <c r="A17" s="28" t="s">
        <v>281</v>
      </c>
      <c r="B17" s="29" t="s">
        <v>282</v>
      </c>
      <c r="C17" s="30" t="n">
        <v>8</v>
      </c>
      <c r="D17" s="32" t="s">
        <v>50</v>
      </c>
      <c r="E17" s="32" t="s">
        <v>50</v>
      </c>
      <c r="F17" s="35" t="s">
        <v>51</v>
      </c>
      <c r="G17" s="34" t="s">
        <v>61</v>
      </c>
      <c r="H17" s="31" t="s">
        <v>49</v>
      </c>
      <c r="I17" s="32" t="s">
        <v>50</v>
      </c>
      <c r="J17" s="31" t="s">
        <v>49</v>
      </c>
      <c r="K17" s="32" t="s">
        <v>50</v>
      </c>
    </row>
    <row r="18" customFormat="false" ht="15" hidden="false" customHeight="true" outlineLevel="0" collapsed="false">
      <c r="B18" s="36" t="s">
        <v>313</v>
      </c>
      <c r="C18" s="37" t="n">
        <f aca="false">SUM(C5:C17)</f>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50"/>
    <col collapsed="false" customWidth="true" hidden="false" outlineLevel="0" max="4" min="4" style="1" width="15"/>
    <col collapsed="false" customWidth="true" hidden="false" outlineLevel="0" max="5" min="5" style="1" width="42"/>
    <col collapsed="false" customWidth="true" hidden="false" outlineLevel="0" max="6" min="6" style="1" width="70"/>
  </cols>
  <sheetData>
    <row r="1" customFormat="false" ht="15.75" hidden="false" customHeight="true" outlineLevel="0" collapsed="false">
      <c r="A1" s="23" t="s">
        <v>314</v>
      </c>
    </row>
    <row r="2" customFormat="false" ht="15" hidden="false" customHeight="true" outlineLevel="0" collapsed="false">
      <c r="A2" s="24" t="s">
        <v>315</v>
      </c>
    </row>
    <row r="4" customFormat="false" ht="21.75" hidden="false" customHeight="true" outlineLevel="0" collapsed="false">
      <c r="A4" s="38" t="s">
        <v>316</v>
      </c>
      <c r="B4" s="38" t="s">
        <v>6</v>
      </c>
      <c r="C4" s="38" t="s">
        <v>317</v>
      </c>
      <c r="D4" s="38" t="s">
        <v>318</v>
      </c>
      <c r="E4" s="38" t="s">
        <v>319</v>
      </c>
      <c r="F4" s="38" t="s">
        <v>320</v>
      </c>
    </row>
    <row r="5" customFormat="false" ht="15" hidden="false" customHeight="true" outlineLevel="0" collapsed="false">
      <c r="A5" s="10" t="n">
        <v>10</v>
      </c>
      <c r="B5" s="11" t="s">
        <v>80</v>
      </c>
      <c r="C5" s="11" t="s">
        <v>81</v>
      </c>
      <c r="D5" s="10" t="s">
        <v>84</v>
      </c>
      <c r="E5" s="12" t="s">
        <v>83</v>
      </c>
      <c r="F5" s="12" t="s">
        <v>82</v>
      </c>
    </row>
    <row r="6" customFormat="false" ht="15" hidden="false" customHeight="true" outlineLevel="0" collapsed="false">
      <c r="A6" s="10" t="n">
        <v>13</v>
      </c>
      <c r="B6" s="11" t="s">
        <v>80</v>
      </c>
      <c r="C6" s="11" t="s">
        <v>88</v>
      </c>
      <c r="D6" s="10" t="s">
        <v>89</v>
      </c>
      <c r="E6" s="12" t="s">
        <v>88</v>
      </c>
      <c r="F6" s="12" t="s">
        <v>321</v>
      </c>
    </row>
    <row r="7" customFormat="false" ht="15" hidden="false" customHeight="true" outlineLevel="0" collapsed="false">
      <c r="A7" s="10" t="n">
        <v>14</v>
      </c>
      <c r="B7" s="11" t="s">
        <v>80</v>
      </c>
      <c r="C7" s="11" t="s">
        <v>91</v>
      </c>
      <c r="D7" s="10" t="s">
        <v>92</v>
      </c>
      <c r="E7" s="12" t="s">
        <v>91</v>
      </c>
      <c r="F7" s="12" t="s">
        <v>322</v>
      </c>
    </row>
    <row r="8" customFormat="false" ht="15" hidden="false" customHeight="true" outlineLevel="0" collapsed="false">
      <c r="A8" s="10" t="n">
        <v>15</v>
      </c>
      <c r="B8" s="11" t="s">
        <v>80</v>
      </c>
      <c r="C8" s="11" t="s">
        <v>95</v>
      </c>
      <c r="D8" s="10" t="s">
        <v>96</v>
      </c>
      <c r="E8" s="12" t="s">
        <v>95</v>
      </c>
      <c r="F8" s="12" t="s">
        <v>323</v>
      </c>
    </row>
    <row r="9" customFormat="false" ht="15" hidden="false" customHeight="true" outlineLevel="0" collapsed="false">
      <c r="A9" s="10" t="n">
        <v>20</v>
      </c>
      <c r="B9" s="11" t="s">
        <v>104</v>
      </c>
      <c r="C9" s="11" t="s">
        <v>105</v>
      </c>
      <c r="D9" s="10" t="s">
        <v>324</v>
      </c>
      <c r="E9" s="12" t="s">
        <v>107</v>
      </c>
      <c r="F9" s="12" t="s">
        <v>325</v>
      </c>
    </row>
    <row r="10" customFormat="false" ht="15" hidden="false" customHeight="true" outlineLevel="0" collapsed="false">
      <c r="A10" s="10" t="n">
        <v>20</v>
      </c>
      <c r="B10" s="11" t="s">
        <v>104</v>
      </c>
      <c r="C10" s="11" t="s">
        <v>105</v>
      </c>
      <c r="D10" s="10" t="s">
        <v>326</v>
      </c>
      <c r="E10" s="12" t="s">
        <v>107</v>
      </c>
      <c r="F10" s="12" t="s">
        <v>327</v>
      </c>
    </row>
    <row r="11" customFormat="false" ht="15" hidden="false" customHeight="true" outlineLevel="0" collapsed="false">
      <c r="A11" s="10" t="n">
        <v>20</v>
      </c>
      <c r="B11" s="11" t="s">
        <v>104</v>
      </c>
      <c r="C11" s="11" t="s">
        <v>105</v>
      </c>
      <c r="D11" s="10" t="s">
        <v>328</v>
      </c>
      <c r="E11" s="12" t="s">
        <v>107</v>
      </c>
      <c r="F11" s="12" t="s">
        <v>329</v>
      </c>
    </row>
    <row r="12" customFormat="false" ht="15" hidden="false" customHeight="true" outlineLevel="0" collapsed="false">
      <c r="A12" s="10" t="n">
        <v>21</v>
      </c>
      <c r="B12" s="11" t="s">
        <v>104</v>
      </c>
      <c r="C12" s="11" t="s">
        <v>110</v>
      </c>
      <c r="D12" s="10" t="s">
        <v>330</v>
      </c>
      <c r="E12" s="12" t="s">
        <v>331</v>
      </c>
      <c r="F12" s="12" t="s">
        <v>332</v>
      </c>
    </row>
    <row r="13" customFormat="false" ht="15" hidden="false" customHeight="true" outlineLevel="0" collapsed="false">
      <c r="A13" s="10" t="n">
        <v>21</v>
      </c>
      <c r="B13" s="11" t="s">
        <v>104</v>
      </c>
      <c r="C13" s="11" t="s">
        <v>110</v>
      </c>
      <c r="D13" s="10" t="s">
        <v>333</v>
      </c>
      <c r="E13" s="12" t="s">
        <v>331</v>
      </c>
      <c r="F13" s="12" t="s">
        <v>334</v>
      </c>
    </row>
    <row r="14" customFormat="false" ht="15" hidden="false" customHeight="true" outlineLevel="0" collapsed="false">
      <c r="A14" s="10" t="n">
        <v>21</v>
      </c>
      <c r="B14" s="11" t="s">
        <v>104</v>
      </c>
      <c r="C14" s="11" t="s">
        <v>110</v>
      </c>
      <c r="D14" s="10" t="s">
        <v>335</v>
      </c>
      <c r="E14" s="12" t="s">
        <v>331</v>
      </c>
      <c r="F14" s="12" t="s">
        <v>336</v>
      </c>
    </row>
    <row r="15" customFormat="false" ht="15" hidden="false" customHeight="true" outlineLevel="0" collapsed="false">
      <c r="A15" s="10" t="n">
        <v>21</v>
      </c>
      <c r="B15" s="11" t="s">
        <v>104</v>
      </c>
      <c r="C15" s="11" t="s">
        <v>110</v>
      </c>
      <c r="D15" s="10" t="s">
        <v>337</v>
      </c>
      <c r="E15" s="12" t="s">
        <v>331</v>
      </c>
      <c r="F15" s="12" t="s">
        <v>338</v>
      </c>
    </row>
    <row r="16" customFormat="false" ht="15" hidden="false" customHeight="true" outlineLevel="0" collapsed="false">
      <c r="A16" s="10" t="n">
        <v>21</v>
      </c>
      <c r="B16" s="11" t="s">
        <v>104</v>
      </c>
      <c r="C16" s="11" t="s">
        <v>110</v>
      </c>
      <c r="D16" s="10" t="s">
        <v>339</v>
      </c>
      <c r="E16" s="12" t="s">
        <v>331</v>
      </c>
      <c r="F16" s="12" t="s">
        <v>340</v>
      </c>
    </row>
    <row r="17" customFormat="false" ht="15" hidden="false" customHeight="true" outlineLevel="0" collapsed="false">
      <c r="A17" s="10" t="n">
        <v>21</v>
      </c>
      <c r="B17" s="11" t="s">
        <v>104</v>
      </c>
      <c r="C17" s="11" t="s">
        <v>110</v>
      </c>
      <c r="D17" s="10" t="s">
        <v>341</v>
      </c>
      <c r="E17" s="12" t="s">
        <v>331</v>
      </c>
      <c r="F17" s="12" t="s">
        <v>342</v>
      </c>
    </row>
    <row r="18" customFormat="false" ht="15" hidden="false" customHeight="true" outlineLevel="0" collapsed="false">
      <c r="A18" s="10" t="n">
        <v>21</v>
      </c>
      <c r="B18" s="11" t="s">
        <v>104</v>
      </c>
      <c r="C18" s="11" t="s">
        <v>110</v>
      </c>
      <c r="D18" s="10" t="s">
        <v>343</v>
      </c>
      <c r="E18" s="12" t="s">
        <v>344</v>
      </c>
      <c r="F18" s="12" t="s">
        <v>345</v>
      </c>
    </row>
    <row r="19" customFormat="false" ht="15" hidden="false" customHeight="true" outlineLevel="0" collapsed="false">
      <c r="A19" s="10" t="n">
        <v>27</v>
      </c>
      <c r="B19" s="11" t="s">
        <v>120</v>
      </c>
      <c r="C19" s="11" t="s">
        <v>121</v>
      </c>
      <c r="D19" s="10" t="s">
        <v>124</v>
      </c>
      <c r="E19" s="12" t="s">
        <v>123</v>
      </c>
      <c r="F19" s="12" t="s">
        <v>346</v>
      </c>
    </row>
    <row r="20" customFormat="false" ht="15" hidden="false" customHeight="true" outlineLevel="0" collapsed="false">
      <c r="A20" s="10" t="n">
        <v>28</v>
      </c>
      <c r="B20" s="11" t="s">
        <v>120</v>
      </c>
      <c r="C20" s="11" t="s">
        <v>126</v>
      </c>
      <c r="D20" s="10" t="s">
        <v>347</v>
      </c>
      <c r="E20" s="12" t="s">
        <v>348</v>
      </c>
      <c r="F20" s="12" t="s">
        <v>127</v>
      </c>
    </row>
    <row r="21" customFormat="false" ht="15" hidden="false" customHeight="true" outlineLevel="0" collapsed="false">
      <c r="A21" s="10" t="n">
        <v>28</v>
      </c>
      <c r="B21" s="11" t="s">
        <v>120</v>
      </c>
      <c r="C21" s="11" t="s">
        <v>126</v>
      </c>
      <c r="D21" s="10" t="s">
        <v>349</v>
      </c>
      <c r="E21" s="12" t="s">
        <v>350</v>
      </c>
      <c r="F21" s="12" t="s">
        <v>351</v>
      </c>
    </row>
    <row r="22" customFormat="false" ht="15" hidden="false" customHeight="true" outlineLevel="0" collapsed="false">
      <c r="A22" s="10" t="n">
        <v>34</v>
      </c>
      <c r="B22" s="11" t="s">
        <v>136</v>
      </c>
      <c r="C22" s="11" t="s">
        <v>139</v>
      </c>
      <c r="D22" s="10" t="s">
        <v>142</v>
      </c>
      <c r="E22" s="12" t="s">
        <v>141</v>
      </c>
      <c r="F22" s="12" t="s">
        <v>352</v>
      </c>
    </row>
    <row r="23" customFormat="false" ht="21.75" hidden="false" customHeight="true" outlineLevel="0" collapsed="false">
      <c r="A23" s="10" t="n">
        <v>35</v>
      </c>
      <c r="B23" s="11" t="s">
        <v>136</v>
      </c>
      <c r="C23" s="11" t="s">
        <v>144</v>
      </c>
      <c r="D23" s="10" t="s">
        <v>147</v>
      </c>
      <c r="E23" s="12" t="s">
        <v>146</v>
      </c>
      <c r="F23" s="12" t="s">
        <v>353</v>
      </c>
    </row>
    <row r="24" customFormat="false" ht="15" hidden="false" customHeight="true" outlineLevel="0" collapsed="false">
      <c r="A24" s="10" t="n">
        <v>38</v>
      </c>
      <c r="B24" s="11" t="s">
        <v>150</v>
      </c>
      <c r="C24" s="11" t="s">
        <v>151</v>
      </c>
      <c r="D24" s="10" t="s">
        <v>153</v>
      </c>
      <c r="E24" s="12" t="s">
        <v>152</v>
      </c>
      <c r="F24" s="12" t="s">
        <v>354</v>
      </c>
    </row>
    <row r="25" customFormat="false" ht="15" hidden="false" customHeight="true" outlineLevel="0" collapsed="false">
      <c r="A25" s="10" t="n">
        <v>44</v>
      </c>
      <c r="B25" s="11" t="s">
        <v>150</v>
      </c>
      <c r="C25" s="11" t="s">
        <v>160</v>
      </c>
      <c r="D25" s="10" t="s">
        <v>355</v>
      </c>
      <c r="E25" s="12" t="s">
        <v>356</v>
      </c>
      <c r="F25" s="12" t="s">
        <v>357</v>
      </c>
    </row>
    <row r="26" customFormat="false" ht="15" hidden="false" customHeight="true" outlineLevel="0" collapsed="false">
      <c r="A26" s="10" t="n">
        <v>44</v>
      </c>
      <c r="B26" s="11" t="s">
        <v>150</v>
      </c>
      <c r="C26" s="11" t="s">
        <v>160</v>
      </c>
      <c r="D26" s="10" t="s">
        <v>358</v>
      </c>
      <c r="E26" s="12" t="s">
        <v>359</v>
      </c>
      <c r="F26" s="12" t="s">
        <v>360</v>
      </c>
    </row>
    <row r="27" customFormat="false" ht="15" hidden="false" customHeight="true" outlineLevel="0" collapsed="false">
      <c r="A27" s="10" t="n">
        <v>44</v>
      </c>
      <c r="B27" s="11" t="s">
        <v>150</v>
      </c>
      <c r="C27" s="11" t="s">
        <v>160</v>
      </c>
      <c r="D27" s="10" t="s">
        <v>361</v>
      </c>
      <c r="E27" s="12" t="s">
        <v>362</v>
      </c>
      <c r="F27" s="12" t="s">
        <v>363</v>
      </c>
    </row>
    <row r="28" customFormat="false" ht="15" hidden="false" customHeight="true" outlineLevel="0" collapsed="false">
      <c r="A28" s="10" t="n">
        <v>44</v>
      </c>
      <c r="B28" s="11" t="s">
        <v>150</v>
      </c>
      <c r="C28" s="11" t="s">
        <v>160</v>
      </c>
      <c r="D28" s="10" t="s">
        <v>364</v>
      </c>
      <c r="E28" s="12" t="s">
        <v>365</v>
      </c>
      <c r="F28" s="12" t="s">
        <v>366</v>
      </c>
    </row>
    <row r="29" customFormat="false" ht="15" hidden="false" customHeight="true" outlineLevel="0" collapsed="false">
      <c r="A29" s="10" t="n">
        <v>46</v>
      </c>
      <c r="B29" s="11" t="s">
        <v>150</v>
      </c>
      <c r="C29" s="11" t="s">
        <v>166</v>
      </c>
      <c r="D29" s="10" t="s">
        <v>367</v>
      </c>
      <c r="E29" s="12" t="s">
        <v>368</v>
      </c>
      <c r="F29" s="12" t="s">
        <v>369</v>
      </c>
    </row>
    <row r="30" customFormat="false" ht="21.75" hidden="false" customHeight="true" outlineLevel="0" collapsed="false">
      <c r="A30" s="10" t="n">
        <v>46</v>
      </c>
      <c r="B30" s="11" t="s">
        <v>150</v>
      </c>
      <c r="C30" s="11" t="s">
        <v>166</v>
      </c>
      <c r="D30" s="10" t="s">
        <v>370</v>
      </c>
      <c r="E30" s="12" t="s">
        <v>371</v>
      </c>
      <c r="F30" s="12" t="s">
        <v>372</v>
      </c>
    </row>
    <row r="31" customFormat="false" ht="21.75" hidden="false" customHeight="true" outlineLevel="0" collapsed="false">
      <c r="A31" s="10" t="n">
        <v>46</v>
      </c>
      <c r="B31" s="11" t="s">
        <v>150</v>
      </c>
      <c r="C31" s="11" t="s">
        <v>166</v>
      </c>
      <c r="D31" s="10" t="s">
        <v>373</v>
      </c>
      <c r="E31" s="12" t="s">
        <v>374</v>
      </c>
      <c r="F31" s="12" t="s">
        <v>375</v>
      </c>
    </row>
    <row r="32" customFormat="false" ht="15" hidden="false" customHeight="true" outlineLevel="0" collapsed="false">
      <c r="A32" s="10" t="n">
        <v>47</v>
      </c>
      <c r="B32" s="11" t="s">
        <v>150</v>
      </c>
      <c r="C32" s="11" t="s">
        <v>171</v>
      </c>
      <c r="D32" s="10" t="s">
        <v>355</v>
      </c>
      <c r="E32" s="12" t="s">
        <v>376</v>
      </c>
      <c r="F32" s="12" t="s">
        <v>377</v>
      </c>
    </row>
    <row r="33" customFormat="false" ht="15" hidden="false" customHeight="true" outlineLevel="0" collapsed="false">
      <c r="A33" s="10" t="n">
        <v>47</v>
      </c>
      <c r="B33" s="11" t="s">
        <v>150</v>
      </c>
      <c r="C33" s="11" t="s">
        <v>171</v>
      </c>
      <c r="D33" s="10" t="s">
        <v>358</v>
      </c>
      <c r="E33" s="12" t="s">
        <v>378</v>
      </c>
      <c r="F33" s="12" t="s">
        <v>379</v>
      </c>
    </row>
    <row r="34" customFormat="false" ht="15" hidden="false" customHeight="true" outlineLevel="0" collapsed="false">
      <c r="A34" s="10" t="n">
        <v>47</v>
      </c>
      <c r="B34" s="11" t="s">
        <v>150</v>
      </c>
      <c r="C34" s="11" t="s">
        <v>171</v>
      </c>
      <c r="D34" s="10" t="s">
        <v>380</v>
      </c>
      <c r="E34" s="12" t="s">
        <v>359</v>
      </c>
      <c r="F34" s="12" t="s">
        <v>381</v>
      </c>
    </row>
    <row r="35" customFormat="false" ht="15" hidden="false" customHeight="true" outlineLevel="0" collapsed="false">
      <c r="A35" s="10" t="n">
        <v>48</v>
      </c>
      <c r="B35" s="11" t="s">
        <v>175</v>
      </c>
      <c r="C35" s="11" t="s">
        <v>176</v>
      </c>
      <c r="D35" s="10" t="s">
        <v>177</v>
      </c>
      <c r="E35" s="12" t="s">
        <v>176</v>
      </c>
      <c r="F35" s="12" t="s">
        <v>382</v>
      </c>
    </row>
    <row r="36" customFormat="false" ht="15" hidden="false" customHeight="true" outlineLevel="0" collapsed="false">
      <c r="A36" s="10" t="n">
        <v>49</v>
      </c>
      <c r="B36" s="11" t="s">
        <v>175</v>
      </c>
      <c r="C36" s="11" t="s">
        <v>179</v>
      </c>
      <c r="D36" s="10" t="s">
        <v>383</v>
      </c>
      <c r="E36" s="12" t="s">
        <v>384</v>
      </c>
      <c r="F36" s="12" t="s">
        <v>385</v>
      </c>
    </row>
    <row r="37" customFormat="false" ht="15" hidden="false" customHeight="true" outlineLevel="0" collapsed="false">
      <c r="A37" s="10" t="n">
        <v>49</v>
      </c>
      <c r="B37" s="11" t="s">
        <v>175</v>
      </c>
      <c r="C37" s="11" t="s">
        <v>179</v>
      </c>
      <c r="D37" s="10" t="s">
        <v>386</v>
      </c>
      <c r="E37" s="12" t="s">
        <v>387</v>
      </c>
      <c r="F37" s="12" t="s">
        <v>388</v>
      </c>
    </row>
    <row r="38" customFormat="false" ht="15" hidden="false" customHeight="true" outlineLevel="0" collapsed="false">
      <c r="A38" s="10" t="n">
        <v>53</v>
      </c>
      <c r="B38" s="11" t="s">
        <v>175</v>
      </c>
      <c r="C38" s="11" t="s">
        <v>186</v>
      </c>
      <c r="D38" s="10" t="s">
        <v>389</v>
      </c>
      <c r="E38" s="12" t="s">
        <v>188</v>
      </c>
      <c r="F38" s="12" t="s">
        <v>390</v>
      </c>
    </row>
    <row r="39" customFormat="false" ht="15" hidden="false" customHeight="true" outlineLevel="0" collapsed="false">
      <c r="A39" s="10" t="n">
        <v>53</v>
      </c>
      <c r="B39" s="11" t="s">
        <v>175</v>
      </c>
      <c r="C39" s="11" t="s">
        <v>186</v>
      </c>
      <c r="D39" s="10" t="s">
        <v>391</v>
      </c>
      <c r="E39" s="12" t="s">
        <v>188</v>
      </c>
      <c r="F39" s="12" t="s">
        <v>392</v>
      </c>
    </row>
    <row r="40" customFormat="false" ht="15" hidden="false" customHeight="true" outlineLevel="0" collapsed="false">
      <c r="A40" s="10" t="n">
        <v>61</v>
      </c>
      <c r="B40" s="11" t="s">
        <v>197</v>
      </c>
      <c r="C40" s="11" t="s">
        <v>203</v>
      </c>
      <c r="D40" s="10" t="s">
        <v>393</v>
      </c>
      <c r="E40" s="12" t="s">
        <v>331</v>
      </c>
      <c r="F40" s="12" t="s">
        <v>394</v>
      </c>
    </row>
    <row r="41" customFormat="false" ht="15" hidden="false" customHeight="true" outlineLevel="0" collapsed="false">
      <c r="A41" s="10" t="n">
        <v>61</v>
      </c>
      <c r="B41" s="11" t="s">
        <v>197</v>
      </c>
      <c r="C41" s="11" t="s">
        <v>203</v>
      </c>
      <c r="D41" s="10" t="s">
        <v>395</v>
      </c>
      <c r="E41" s="12" t="s">
        <v>331</v>
      </c>
      <c r="F41" s="12" t="s">
        <v>396</v>
      </c>
    </row>
    <row r="42" customFormat="false" ht="15" hidden="false" customHeight="true" outlineLevel="0" collapsed="false">
      <c r="A42" s="10" t="n">
        <v>61</v>
      </c>
      <c r="B42" s="11" t="s">
        <v>197</v>
      </c>
      <c r="C42" s="11" t="s">
        <v>203</v>
      </c>
      <c r="D42" s="10" t="s">
        <v>397</v>
      </c>
      <c r="E42" s="12" t="s">
        <v>344</v>
      </c>
      <c r="F42" s="12" t="s">
        <v>398</v>
      </c>
    </row>
    <row r="43" customFormat="false" ht="15" hidden="false" customHeight="true" outlineLevel="0" collapsed="false">
      <c r="A43" s="10" t="n">
        <v>61</v>
      </c>
      <c r="B43" s="11" t="s">
        <v>197</v>
      </c>
      <c r="C43" s="11" t="s">
        <v>203</v>
      </c>
      <c r="D43" s="10" t="s">
        <v>399</v>
      </c>
      <c r="E43" s="12" t="s">
        <v>400</v>
      </c>
      <c r="F43" s="12" t="s">
        <v>401</v>
      </c>
    </row>
    <row r="44" customFormat="false" ht="15" hidden="false" customHeight="true" outlineLevel="0" collapsed="false">
      <c r="A44" s="10" t="n">
        <v>62</v>
      </c>
      <c r="B44" s="11" t="s">
        <v>197</v>
      </c>
      <c r="C44" s="11" t="s">
        <v>208</v>
      </c>
      <c r="D44" s="10" t="s">
        <v>211</v>
      </c>
      <c r="E44" s="12" t="s">
        <v>210</v>
      </c>
      <c r="F44" s="12" t="s">
        <v>402</v>
      </c>
    </row>
    <row r="45" customFormat="false" ht="15" hidden="false" customHeight="true" outlineLevel="0" collapsed="false">
      <c r="A45" s="10" t="n">
        <v>65</v>
      </c>
      <c r="B45" s="11" t="s">
        <v>216</v>
      </c>
      <c r="C45" s="11" t="s">
        <v>217</v>
      </c>
      <c r="D45" s="10" t="s">
        <v>219</v>
      </c>
      <c r="E45" s="12" t="s">
        <v>218</v>
      </c>
      <c r="F45" s="12" t="s">
        <v>403</v>
      </c>
    </row>
    <row r="46" customFormat="false" ht="15" hidden="false" customHeight="true" outlineLevel="0" collapsed="false">
      <c r="A46" s="10" t="n">
        <v>66</v>
      </c>
      <c r="B46" s="11" t="s">
        <v>216</v>
      </c>
      <c r="C46" s="11" t="s">
        <v>221</v>
      </c>
      <c r="D46" s="10" t="s">
        <v>223</v>
      </c>
      <c r="E46" s="12" t="s">
        <v>222</v>
      </c>
      <c r="F46" s="12" t="s">
        <v>404</v>
      </c>
    </row>
    <row r="47" customFormat="false" ht="15" hidden="false" customHeight="true" outlineLevel="0" collapsed="false">
      <c r="A47" s="10" t="n">
        <v>71</v>
      </c>
      <c r="B47" s="11" t="s">
        <v>232</v>
      </c>
      <c r="C47" s="11" t="s">
        <v>233</v>
      </c>
      <c r="D47" s="10" t="s">
        <v>234</v>
      </c>
      <c r="E47" s="12" t="s">
        <v>176</v>
      </c>
      <c r="F47" s="12" t="s">
        <v>405</v>
      </c>
    </row>
    <row r="48" customFormat="false" ht="15" hidden="false" customHeight="true" outlineLevel="0" collapsed="false">
      <c r="A48" s="10" t="n">
        <v>72</v>
      </c>
      <c r="B48" s="11" t="s">
        <v>232</v>
      </c>
      <c r="C48" s="11" t="s">
        <v>236</v>
      </c>
      <c r="D48" s="10" t="s">
        <v>237</v>
      </c>
      <c r="E48" s="12" t="s">
        <v>179</v>
      </c>
      <c r="F48" s="12" t="s">
        <v>406</v>
      </c>
    </row>
    <row r="49" customFormat="false" ht="15" hidden="false" customHeight="true" outlineLevel="0" collapsed="false">
      <c r="A49" s="10" t="n">
        <v>74</v>
      </c>
      <c r="B49" s="11" t="s">
        <v>232</v>
      </c>
      <c r="C49" s="11" t="s">
        <v>240</v>
      </c>
      <c r="D49" s="10" t="s">
        <v>241</v>
      </c>
      <c r="E49" s="12" t="s">
        <v>179</v>
      </c>
      <c r="F49" s="12" t="s">
        <v>407</v>
      </c>
    </row>
    <row r="50" customFormat="false" ht="15" hidden="false" customHeight="true" outlineLevel="0" collapsed="false">
      <c r="A50" s="10" t="n">
        <v>75</v>
      </c>
      <c r="B50" s="11" t="s">
        <v>232</v>
      </c>
      <c r="C50" s="11" t="s">
        <v>243</v>
      </c>
      <c r="D50" s="10" t="s">
        <v>245</v>
      </c>
      <c r="E50" s="12" t="s">
        <v>244</v>
      </c>
      <c r="F50" s="12" t="s">
        <v>408</v>
      </c>
    </row>
    <row r="51" customFormat="false" ht="15" hidden="false" customHeight="true" outlineLevel="0" collapsed="false">
      <c r="A51" s="10" t="n">
        <v>78</v>
      </c>
      <c r="B51" s="11" t="s">
        <v>250</v>
      </c>
      <c r="C51" s="11" t="s">
        <v>251</v>
      </c>
      <c r="D51" s="10" t="s">
        <v>409</v>
      </c>
      <c r="E51" s="12" t="s">
        <v>410</v>
      </c>
      <c r="F51" s="12" t="s">
        <v>411</v>
      </c>
    </row>
    <row r="52" customFormat="false" ht="15" hidden="false" customHeight="true" outlineLevel="0" collapsed="false">
      <c r="A52" s="10" t="n">
        <v>78</v>
      </c>
      <c r="B52" s="11" t="s">
        <v>250</v>
      </c>
      <c r="C52" s="11" t="s">
        <v>251</v>
      </c>
      <c r="D52" s="10" t="s">
        <v>412</v>
      </c>
      <c r="E52" s="12" t="s">
        <v>410</v>
      </c>
      <c r="F52" s="12" t="s">
        <v>413</v>
      </c>
    </row>
    <row r="53" customFormat="false" ht="15" hidden="false" customHeight="true" outlineLevel="0" collapsed="false">
      <c r="A53" s="10" t="n">
        <v>78</v>
      </c>
      <c r="B53" s="11" t="s">
        <v>250</v>
      </c>
      <c r="C53" s="11" t="s">
        <v>251</v>
      </c>
      <c r="D53" s="10" t="s">
        <v>414</v>
      </c>
      <c r="E53" s="12" t="s">
        <v>415</v>
      </c>
      <c r="F53" s="12" t="s">
        <v>416</v>
      </c>
    </row>
    <row r="54" customFormat="false" ht="15" hidden="false" customHeight="true" outlineLevel="0" collapsed="false">
      <c r="A54" s="10" t="n">
        <v>78</v>
      </c>
      <c r="B54" s="11" t="s">
        <v>250</v>
      </c>
      <c r="C54" s="11" t="s">
        <v>251</v>
      </c>
      <c r="D54" s="10" t="s">
        <v>417</v>
      </c>
      <c r="E54" s="12" t="s">
        <v>418</v>
      </c>
      <c r="F54" s="12" t="s">
        <v>419</v>
      </c>
    </row>
    <row r="55" customFormat="false" ht="15" hidden="false" customHeight="true" outlineLevel="0" collapsed="false">
      <c r="A55" s="10" t="n">
        <v>79</v>
      </c>
      <c r="B55" s="11" t="s">
        <v>250</v>
      </c>
      <c r="C55" s="11" t="s">
        <v>255</v>
      </c>
      <c r="D55" s="10" t="s">
        <v>420</v>
      </c>
      <c r="E55" s="12" t="s">
        <v>421</v>
      </c>
      <c r="F55" s="12" t="s">
        <v>422</v>
      </c>
    </row>
    <row r="56" customFormat="false" ht="15" hidden="false" customHeight="true" outlineLevel="0" collapsed="false">
      <c r="A56" s="10" t="n">
        <v>79</v>
      </c>
      <c r="B56" s="11" t="s">
        <v>250</v>
      </c>
      <c r="C56" s="11" t="s">
        <v>255</v>
      </c>
      <c r="D56" s="10" t="s">
        <v>423</v>
      </c>
      <c r="E56" s="12" t="s">
        <v>421</v>
      </c>
      <c r="F56" s="12" t="s">
        <v>424</v>
      </c>
    </row>
    <row r="57" customFormat="false" ht="15" hidden="false" customHeight="true" outlineLevel="0" collapsed="false">
      <c r="A57" s="10" t="n">
        <v>79</v>
      </c>
      <c r="B57" s="11" t="s">
        <v>250</v>
      </c>
      <c r="C57" s="11" t="s">
        <v>255</v>
      </c>
      <c r="D57" s="10" t="s">
        <v>425</v>
      </c>
      <c r="E57" s="12" t="s">
        <v>415</v>
      </c>
      <c r="F57" s="12" t="s">
        <v>426</v>
      </c>
    </row>
    <row r="58" customFormat="false" ht="15" hidden="false" customHeight="true" outlineLevel="0" collapsed="false">
      <c r="A58" s="10" t="n">
        <v>79</v>
      </c>
      <c r="B58" s="11" t="s">
        <v>250</v>
      </c>
      <c r="C58" s="11" t="s">
        <v>255</v>
      </c>
      <c r="D58" s="10" t="s">
        <v>427</v>
      </c>
      <c r="E58" s="12" t="s">
        <v>428</v>
      </c>
      <c r="F58" s="12" t="s">
        <v>419</v>
      </c>
    </row>
    <row r="59" customFormat="false" ht="15" hidden="false" customHeight="true" outlineLevel="0" collapsed="false">
      <c r="A59" s="10" t="n">
        <v>90</v>
      </c>
      <c r="B59" s="11" t="s">
        <v>270</v>
      </c>
      <c r="C59" s="11" t="s">
        <v>271</v>
      </c>
      <c r="D59" s="10" t="s">
        <v>429</v>
      </c>
      <c r="E59" s="12" t="s">
        <v>430</v>
      </c>
      <c r="F59" s="12" t="s">
        <v>431</v>
      </c>
    </row>
    <row r="60" customFormat="false" ht="15" hidden="false" customHeight="true" outlineLevel="0" collapsed="false">
      <c r="A60" s="10" t="n">
        <v>90</v>
      </c>
      <c r="B60" s="11" t="s">
        <v>270</v>
      </c>
      <c r="C60" s="11" t="s">
        <v>271</v>
      </c>
      <c r="D60" s="10" t="s">
        <v>432</v>
      </c>
      <c r="E60" s="12" t="s">
        <v>430</v>
      </c>
      <c r="F60" s="12" t="s">
        <v>433</v>
      </c>
    </row>
    <row r="61" customFormat="false" ht="15" hidden="false" customHeight="true" outlineLevel="0" collapsed="false">
      <c r="A61" s="10" t="n">
        <v>90</v>
      </c>
      <c r="B61" s="11" t="s">
        <v>270</v>
      </c>
      <c r="C61" s="11" t="s">
        <v>271</v>
      </c>
      <c r="D61" s="10" t="s">
        <v>434</v>
      </c>
      <c r="E61" s="12" t="s">
        <v>435</v>
      </c>
      <c r="F61" s="12" t="s">
        <v>436</v>
      </c>
    </row>
    <row r="62" customFormat="false" ht="15" hidden="false" customHeight="true" outlineLevel="0" collapsed="false">
      <c r="A62" s="10" t="n">
        <v>90</v>
      </c>
      <c r="B62" s="11" t="s">
        <v>270</v>
      </c>
      <c r="C62" s="11" t="s">
        <v>271</v>
      </c>
      <c r="D62" s="10" t="s">
        <v>437</v>
      </c>
      <c r="E62" s="12" t="s">
        <v>438</v>
      </c>
      <c r="F62" s="12" t="s">
        <v>439</v>
      </c>
    </row>
    <row r="63" customFormat="false" ht="15" hidden="false" customHeight="true" outlineLevel="0" collapsed="false">
      <c r="A63" s="10" t="n">
        <v>95</v>
      </c>
      <c r="B63" s="11" t="s">
        <v>282</v>
      </c>
      <c r="C63" s="11" t="s">
        <v>283</v>
      </c>
      <c r="D63" s="10" t="s">
        <v>440</v>
      </c>
      <c r="E63" s="12" t="s">
        <v>441</v>
      </c>
      <c r="F63" s="12" t="s">
        <v>442</v>
      </c>
    </row>
    <row r="64" customFormat="false" ht="15" hidden="false" customHeight="true" outlineLevel="0" collapsed="false">
      <c r="A64" s="10" t="n">
        <v>95</v>
      </c>
      <c r="B64" s="11" t="s">
        <v>282</v>
      </c>
      <c r="C64" s="11" t="s">
        <v>283</v>
      </c>
      <c r="D64" s="10" t="s">
        <v>443</v>
      </c>
      <c r="E64" s="12" t="s">
        <v>444</v>
      </c>
      <c r="F64" s="12" t="s">
        <v>445</v>
      </c>
    </row>
    <row r="65" customFormat="false" ht="15" hidden="false" customHeight="true" outlineLevel="0" collapsed="false">
      <c r="A65" s="10" t="n">
        <v>95</v>
      </c>
      <c r="B65" s="11" t="s">
        <v>282</v>
      </c>
      <c r="C65" s="11" t="s">
        <v>283</v>
      </c>
      <c r="D65" s="10" t="s">
        <v>211</v>
      </c>
      <c r="E65" s="12" t="s">
        <v>210</v>
      </c>
      <c r="F65" s="12" t="s">
        <v>402</v>
      </c>
    </row>
    <row r="66" customFormat="false" ht="15" hidden="false" customHeight="true" outlineLevel="0" collapsed="false">
      <c r="A66" s="10" t="n">
        <v>95</v>
      </c>
      <c r="B66" s="11" t="s">
        <v>282</v>
      </c>
      <c r="C66" s="11" t="s">
        <v>283</v>
      </c>
      <c r="D66" s="10" t="s">
        <v>446</v>
      </c>
      <c r="E66" s="12" t="s">
        <v>447</v>
      </c>
      <c r="F66" s="12" t="s">
        <v>448</v>
      </c>
    </row>
    <row r="67" customFormat="false" ht="15" hidden="false" customHeight="true" outlineLevel="0" collapsed="false">
      <c r="A67" s="10" t="n">
        <v>95</v>
      </c>
      <c r="B67" s="11" t="s">
        <v>282</v>
      </c>
      <c r="C67" s="11" t="s">
        <v>283</v>
      </c>
      <c r="D67" s="10" t="s">
        <v>449</v>
      </c>
      <c r="E67" s="12" t="s">
        <v>450</v>
      </c>
      <c r="F67" s="12" t="s">
        <v>451</v>
      </c>
    </row>
    <row r="68" customFormat="false" ht="15" hidden="false" customHeight="true" outlineLevel="0" collapsed="false">
      <c r="A68" s="10" t="n">
        <v>95</v>
      </c>
      <c r="B68" s="11" t="s">
        <v>282</v>
      </c>
      <c r="C68" s="11" t="s">
        <v>283</v>
      </c>
      <c r="D68" s="10" t="s">
        <v>452</v>
      </c>
      <c r="E68" s="12" t="s">
        <v>453</v>
      </c>
      <c r="F68" s="12" t="s">
        <v>454</v>
      </c>
    </row>
    <row r="69" customFormat="false" ht="15" hidden="false" customHeight="true" outlineLevel="0" collapsed="false">
      <c r="A69" s="10" t="n">
        <v>95</v>
      </c>
      <c r="B69" s="11" t="s">
        <v>282</v>
      </c>
      <c r="C69" s="11" t="s">
        <v>283</v>
      </c>
      <c r="D69" s="10" t="s">
        <v>455</v>
      </c>
      <c r="E69" s="12" t="s">
        <v>456</v>
      </c>
      <c r="F69" s="12" t="s">
        <v>457</v>
      </c>
    </row>
    <row r="70" customFormat="false" ht="15" hidden="false" customHeight="true" outlineLevel="0" collapsed="false">
      <c r="A70" s="10" t="n">
        <v>96</v>
      </c>
      <c r="B70" s="11" t="s">
        <v>282</v>
      </c>
      <c r="C70" s="11" t="s">
        <v>288</v>
      </c>
      <c r="D70" s="10" t="s">
        <v>290</v>
      </c>
      <c r="E70" s="12" t="s">
        <v>289</v>
      </c>
      <c r="F70" s="12" t="s">
        <v>458</v>
      </c>
    </row>
    <row r="71" customFormat="false" ht="15" hidden="false" customHeight="true" outlineLevel="0" collapsed="false">
      <c r="A71" s="10" t="n">
        <v>97</v>
      </c>
      <c r="B71" s="11" t="s">
        <v>282</v>
      </c>
      <c r="C71" s="11" t="s">
        <v>292</v>
      </c>
      <c r="D71" s="10" t="s">
        <v>295</v>
      </c>
      <c r="E71" s="12" t="s">
        <v>294</v>
      </c>
      <c r="F71" s="12" t="s">
        <v>459</v>
      </c>
    </row>
  </sheetData>
  <autoFilter ref="A4:F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3"/>
    <col collapsed="false" customWidth="true" hidden="false" outlineLevel="0" max="3" min="3" style="1" width="26"/>
    <col collapsed="false" customWidth="true" hidden="false" outlineLevel="0" max="4" min="4" style="1" width="46"/>
    <col collapsed="false" customWidth="true" hidden="false" outlineLevel="0" max="5" min="5" style="1" width="40"/>
    <col collapsed="false" customWidth="true" hidden="false" outlineLevel="0" max="6" min="6" style="1" width="46"/>
    <col collapsed="false" customWidth="true" hidden="false" outlineLevel="0" max="7" min="7" style="1" width="42"/>
    <col collapsed="false" customWidth="true" hidden="false" outlineLevel="0" max="8" min="8" style="1" width="44"/>
    <col collapsed="false" customWidth="true" hidden="false" outlineLevel="0" max="9" min="9" style="1" width="22"/>
    <col collapsed="false" customWidth="true" hidden="false" outlineLevel="0" max="10" min="10" style="1" width="44"/>
    <col collapsed="false" customWidth="true" hidden="false" outlineLevel="0" max="11" min="11" style="1" width="14"/>
  </cols>
  <sheetData>
    <row r="1" customFormat="false" ht="15.75" hidden="false" customHeight="true" outlineLevel="0" collapsed="false">
      <c r="A1" s="23" t="s">
        <v>460</v>
      </c>
    </row>
    <row r="2" customFormat="false" ht="15" hidden="false" customHeight="true" outlineLevel="0" collapsed="false">
      <c r="A2" s="39" t="s">
        <v>461</v>
      </c>
      <c r="B2" s="39"/>
      <c r="C2" s="39"/>
      <c r="D2" s="39"/>
      <c r="E2" s="39"/>
      <c r="F2" s="39"/>
      <c r="G2" s="39"/>
      <c r="H2" s="39"/>
      <c r="I2" s="39"/>
      <c r="J2" s="39"/>
      <c r="K2" s="39"/>
    </row>
    <row r="3" customFormat="false" ht="15" hidden="false" customHeight="true" outlineLevel="0" collapsed="false">
      <c r="A3" s="39"/>
      <c r="B3" s="39"/>
      <c r="C3" s="39"/>
      <c r="D3" s="39"/>
      <c r="E3" s="39"/>
      <c r="F3" s="39"/>
      <c r="G3" s="39"/>
      <c r="H3" s="39"/>
      <c r="I3" s="39"/>
      <c r="J3" s="39"/>
      <c r="K3" s="39"/>
    </row>
    <row r="5" customFormat="false" ht="45.75" hidden="false" customHeight="true" outlineLevel="0" collapsed="false">
      <c r="A5" s="25" t="s">
        <v>4</v>
      </c>
      <c r="B5" s="25" t="s">
        <v>5</v>
      </c>
      <c r="C5" s="25" t="s">
        <v>6</v>
      </c>
      <c r="D5" s="25" t="s">
        <v>462</v>
      </c>
      <c r="E5" s="26" t="s">
        <v>463</v>
      </c>
      <c r="F5" s="26" t="s">
        <v>464</v>
      </c>
      <c r="G5" s="26" t="s">
        <v>465</v>
      </c>
      <c r="H5" s="26" t="s">
        <v>466</v>
      </c>
      <c r="I5" s="38" t="s">
        <v>467</v>
      </c>
      <c r="J5" s="38" t="s">
        <v>468</v>
      </c>
      <c r="K5" s="38" t="s">
        <v>469</v>
      </c>
    </row>
    <row r="6" customFormat="false" ht="21.75" hidden="false" customHeight="true" outlineLevel="0" collapsed="false">
      <c r="A6" s="40" t="n">
        <v>1</v>
      </c>
      <c r="B6" s="40" t="s">
        <v>41</v>
      </c>
      <c r="C6" s="40" t="s">
        <v>42</v>
      </c>
      <c r="D6" s="41" t="s">
        <v>43</v>
      </c>
      <c r="E6" s="41" t="s">
        <v>470</v>
      </c>
      <c r="F6" s="41" t="s">
        <v>471</v>
      </c>
      <c r="G6" s="41" t="s">
        <v>472</v>
      </c>
      <c r="H6" s="41" t="s">
        <v>473</v>
      </c>
      <c r="I6" s="41" t="s">
        <v>317</v>
      </c>
      <c r="J6" s="41" t="s">
        <v>474</v>
      </c>
      <c r="K6" s="41" t="s">
        <v>475</v>
      </c>
    </row>
    <row r="7" customFormat="false" ht="21.75" hidden="false" customHeight="true" outlineLevel="0" collapsed="false">
      <c r="A7" s="40" t="n">
        <v>2</v>
      </c>
      <c r="B7" s="40" t="s">
        <v>41</v>
      </c>
      <c r="C7" s="40" t="s">
        <v>42</v>
      </c>
      <c r="D7" s="41" t="s">
        <v>58</v>
      </c>
      <c r="E7" s="41"/>
      <c r="F7" s="41" t="s">
        <v>476</v>
      </c>
      <c r="G7" s="41" t="s">
        <v>472</v>
      </c>
      <c r="H7" s="41" t="s">
        <v>473</v>
      </c>
      <c r="I7" s="41" t="s">
        <v>477</v>
      </c>
      <c r="J7" s="41" t="s">
        <v>58</v>
      </c>
      <c r="K7" s="41" t="s">
        <v>475</v>
      </c>
    </row>
    <row r="8" customFormat="false" ht="21.75" hidden="false" customHeight="true" outlineLevel="0" collapsed="false">
      <c r="A8" s="40" t="n">
        <v>3</v>
      </c>
      <c r="B8" s="40" t="s">
        <v>41</v>
      </c>
      <c r="C8" s="40" t="s">
        <v>42</v>
      </c>
      <c r="D8" s="41" t="s">
        <v>65</v>
      </c>
      <c r="E8" s="41"/>
      <c r="F8" s="41" t="s">
        <v>478</v>
      </c>
      <c r="G8" s="41" t="s">
        <v>479</v>
      </c>
      <c r="H8" s="41" t="s">
        <v>473</v>
      </c>
      <c r="I8" s="41" t="s">
        <v>317</v>
      </c>
      <c r="J8" s="41" t="s">
        <v>480</v>
      </c>
      <c r="K8" s="41" t="s">
        <v>475</v>
      </c>
    </row>
    <row r="9" customFormat="false" ht="32.25" hidden="false" customHeight="true" outlineLevel="0" collapsed="false">
      <c r="A9" s="40" t="n">
        <v>4</v>
      </c>
      <c r="B9" s="40" t="s">
        <v>41</v>
      </c>
      <c r="C9" s="40" t="s">
        <v>42</v>
      </c>
      <c r="D9" s="41" t="s">
        <v>69</v>
      </c>
      <c r="E9" s="41" t="s">
        <v>481</v>
      </c>
      <c r="F9" s="41" t="s">
        <v>482</v>
      </c>
      <c r="G9" s="41" t="s">
        <v>472</v>
      </c>
      <c r="H9" s="41" t="s">
        <v>473</v>
      </c>
      <c r="I9" s="41" t="s">
        <v>477</v>
      </c>
      <c r="J9" s="41" t="s">
        <v>483</v>
      </c>
      <c r="K9" s="41" t="s">
        <v>475</v>
      </c>
    </row>
    <row r="10" customFormat="false" ht="21.75" hidden="false" customHeight="true" outlineLevel="0" collapsed="false">
      <c r="A10" s="40" t="n">
        <v>5</v>
      </c>
      <c r="B10" s="40" t="s">
        <v>41</v>
      </c>
      <c r="C10" s="40" t="s">
        <v>42</v>
      </c>
      <c r="D10" s="41" t="s">
        <v>71</v>
      </c>
      <c r="E10" s="41"/>
      <c r="F10" s="41" t="s">
        <v>484</v>
      </c>
      <c r="G10" s="41" t="s">
        <v>472</v>
      </c>
      <c r="H10" s="41" t="s">
        <v>473</v>
      </c>
      <c r="I10" s="41" t="s">
        <v>477</v>
      </c>
      <c r="J10" s="41" t="s">
        <v>485</v>
      </c>
      <c r="K10" s="41" t="s">
        <v>475</v>
      </c>
    </row>
    <row r="11" customFormat="false" ht="21.75" hidden="false" customHeight="true" outlineLevel="0" collapsed="false">
      <c r="A11" s="40" t="n">
        <v>6</v>
      </c>
      <c r="B11" s="40" t="s">
        <v>41</v>
      </c>
      <c r="C11" s="40" t="s">
        <v>42</v>
      </c>
      <c r="D11" s="41" t="s">
        <v>73</v>
      </c>
      <c r="E11" s="41" t="s">
        <v>470</v>
      </c>
      <c r="F11" s="41"/>
      <c r="G11" s="41" t="s">
        <v>472</v>
      </c>
      <c r="H11" s="41" t="s">
        <v>473</v>
      </c>
      <c r="I11" s="41" t="s">
        <v>477</v>
      </c>
      <c r="J11" s="41" t="s">
        <v>486</v>
      </c>
      <c r="K11" s="41" t="s">
        <v>475</v>
      </c>
    </row>
    <row r="12" customFormat="false" ht="32.25" hidden="false" customHeight="true" outlineLevel="0" collapsed="false">
      <c r="A12" s="40" t="n">
        <v>7</v>
      </c>
      <c r="B12" s="40" t="s">
        <v>41</v>
      </c>
      <c r="C12" s="40" t="s">
        <v>42</v>
      </c>
      <c r="D12" s="41" t="s">
        <v>74</v>
      </c>
      <c r="E12" s="41" t="s">
        <v>331</v>
      </c>
      <c r="F12" s="41" t="s">
        <v>487</v>
      </c>
      <c r="G12" s="41" t="s">
        <v>472</v>
      </c>
      <c r="H12" s="41" t="s">
        <v>473</v>
      </c>
      <c r="I12" s="41" t="s">
        <v>477</v>
      </c>
      <c r="J12" s="41" t="s">
        <v>74</v>
      </c>
      <c r="K12" s="41" t="s">
        <v>475</v>
      </c>
    </row>
    <row r="13" customFormat="false" ht="21.75" hidden="false" customHeight="true" outlineLevel="0" collapsed="false">
      <c r="A13" s="40" t="n">
        <v>8</v>
      </c>
      <c r="B13" s="40" t="s">
        <v>41</v>
      </c>
      <c r="C13" s="40" t="s">
        <v>42</v>
      </c>
      <c r="D13" s="41" t="s">
        <v>75</v>
      </c>
      <c r="E13" s="41" t="s">
        <v>470</v>
      </c>
      <c r="F13" s="41" t="s">
        <v>478</v>
      </c>
      <c r="G13" s="41" t="s">
        <v>472</v>
      </c>
      <c r="H13" s="41" t="s">
        <v>473</v>
      </c>
      <c r="I13" s="41" t="s">
        <v>488</v>
      </c>
      <c r="J13" s="41" t="s">
        <v>75</v>
      </c>
      <c r="K13" s="41" t="s">
        <v>475</v>
      </c>
    </row>
    <row r="14" customFormat="false" ht="21.75" hidden="false" customHeight="true" outlineLevel="0" collapsed="false">
      <c r="A14" s="40" t="n">
        <v>9</v>
      </c>
      <c r="B14" s="40" t="s">
        <v>41</v>
      </c>
      <c r="C14" s="40" t="s">
        <v>42</v>
      </c>
      <c r="D14" s="41" t="s">
        <v>77</v>
      </c>
      <c r="E14" s="41"/>
      <c r="F14" s="41" t="s">
        <v>489</v>
      </c>
      <c r="G14" s="41" t="s">
        <v>472</v>
      </c>
      <c r="H14" s="41" t="s">
        <v>473</v>
      </c>
      <c r="I14" s="41" t="s">
        <v>488</v>
      </c>
      <c r="J14" s="41" t="s">
        <v>490</v>
      </c>
      <c r="K14" s="41" t="s">
        <v>475</v>
      </c>
    </row>
    <row r="15" customFormat="false" ht="21.75" hidden="false" customHeight="true" outlineLevel="0" collapsed="false">
      <c r="A15" s="40" t="n">
        <v>10</v>
      </c>
      <c r="B15" s="40" t="s">
        <v>41</v>
      </c>
      <c r="C15" s="40" t="s">
        <v>80</v>
      </c>
      <c r="D15" s="41" t="s">
        <v>81</v>
      </c>
      <c r="E15" s="41" t="s">
        <v>491</v>
      </c>
      <c r="F15" s="41" t="s">
        <v>492</v>
      </c>
      <c r="G15" s="41" t="s">
        <v>493</v>
      </c>
      <c r="H15" s="41" t="s">
        <v>494</v>
      </c>
      <c r="I15" s="41" t="s">
        <v>317</v>
      </c>
      <c r="J15" s="41" t="s">
        <v>81</v>
      </c>
      <c r="K15" s="41" t="s">
        <v>475</v>
      </c>
    </row>
    <row r="16" customFormat="false" ht="21.75" hidden="false" customHeight="true" outlineLevel="0" collapsed="false">
      <c r="A16" s="40" t="n">
        <v>11</v>
      </c>
      <c r="B16" s="40" t="s">
        <v>41</v>
      </c>
      <c r="C16" s="40" t="s">
        <v>80</v>
      </c>
      <c r="D16" s="41" t="s">
        <v>86</v>
      </c>
      <c r="E16" s="41" t="s">
        <v>495</v>
      </c>
      <c r="F16" s="41"/>
      <c r="G16" s="41" t="s">
        <v>493</v>
      </c>
      <c r="H16" s="41" t="s">
        <v>494</v>
      </c>
      <c r="I16" s="41" t="s">
        <v>477</v>
      </c>
      <c r="J16" s="41" t="s">
        <v>86</v>
      </c>
      <c r="K16" s="41" t="s">
        <v>475</v>
      </c>
    </row>
    <row r="17" customFormat="false" ht="21.75" hidden="false" customHeight="true" outlineLevel="0" collapsed="false">
      <c r="A17" s="40" t="n">
        <v>12</v>
      </c>
      <c r="B17" s="40" t="s">
        <v>41</v>
      </c>
      <c r="C17" s="40" t="s">
        <v>80</v>
      </c>
      <c r="D17" s="41" t="s">
        <v>87</v>
      </c>
      <c r="E17" s="41" t="s">
        <v>496</v>
      </c>
      <c r="F17" s="41"/>
      <c r="G17" s="41" t="s">
        <v>497</v>
      </c>
      <c r="H17" s="41" t="s">
        <v>494</v>
      </c>
      <c r="I17" s="41" t="s">
        <v>477</v>
      </c>
      <c r="J17" s="41" t="s">
        <v>87</v>
      </c>
      <c r="K17" s="41" t="s">
        <v>475</v>
      </c>
    </row>
    <row r="18" customFormat="false" ht="21.75" hidden="false" customHeight="true" outlineLevel="0" collapsed="false">
      <c r="A18" s="40" t="n">
        <v>13</v>
      </c>
      <c r="B18" s="40" t="s">
        <v>41</v>
      </c>
      <c r="C18" s="40" t="s">
        <v>80</v>
      </c>
      <c r="D18" s="41" t="s">
        <v>88</v>
      </c>
      <c r="E18" s="41" t="s">
        <v>498</v>
      </c>
      <c r="F18" s="41" t="s">
        <v>499</v>
      </c>
      <c r="G18" s="41" t="s">
        <v>500</v>
      </c>
      <c r="H18" s="41" t="s">
        <v>494</v>
      </c>
      <c r="I18" s="41" t="s">
        <v>477</v>
      </c>
      <c r="J18" s="41" t="s">
        <v>88</v>
      </c>
      <c r="K18" s="41" t="s">
        <v>475</v>
      </c>
    </row>
    <row r="19" customFormat="false" ht="21.75" hidden="false" customHeight="true" outlineLevel="0" collapsed="false">
      <c r="A19" s="40" t="n">
        <v>14</v>
      </c>
      <c r="B19" s="40" t="s">
        <v>41</v>
      </c>
      <c r="C19" s="40" t="s">
        <v>80</v>
      </c>
      <c r="D19" s="41" t="s">
        <v>91</v>
      </c>
      <c r="E19" s="41" t="s">
        <v>501</v>
      </c>
      <c r="F19" s="41"/>
      <c r="G19" s="41" t="s">
        <v>500</v>
      </c>
      <c r="H19" s="41" t="s">
        <v>494</v>
      </c>
      <c r="I19" s="41" t="s">
        <v>477</v>
      </c>
      <c r="J19" s="41" t="s">
        <v>91</v>
      </c>
      <c r="K19" s="41" t="s">
        <v>475</v>
      </c>
    </row>
    <row r="20" customFormat="false" ht="21.75" hidden="false" customHeight="true" outlineLevel="0" collapsed="false">
      <c r="A20" s="40" t="n">
        <v>15</v>
      </c>
      <c r="B20" s="40" t="s">
        <v>41</v>
      </c>
      <c r="C20" s="40" t="s">
        <v>80</v>
      </c>
      <c r="D20" s="41" t="s">
        <v>95</v>
      </c>
      <c r="E20" s="41" t="s">
        <v>502</v>
      </c>
      <c r="F20" s="41" t="s">
        <v>499</v>
      </c>
      <c r="G20" s="41" t="s">
        <v>500</v>
      </c>
      <c r="H20" s="41" t="s">
        <v>494</v>
      </c>
      <c r="I20" s="41" t="s">
        <v>477</v>
      </c>
      <c r="J20" s="41" t="s">
        <v>95</v>
      </c>
      <c r="K20" s="41" t="s">
        <v>475</v>
      </c>
    </row>
    <row r="21" customFormat="false" ht="32.25" hidden="false" customHeight="true" outlineLevel="0" collapsed="false">
      <c r="A21" s="40" t="n">
        <v>16</v>
      </c>
      <c r="B21" s="40" t="s">
        <v>41</v>
      </c>
      <c r="C21" s="40" t="s">
        <v>80</v>
      </c>
      <c r="D21" s="41" t="s">
        <v>98</v>
      </c>
      <c r="E21" s="41"/>
      <c r="F21" s="41" t="s">
        <v>503</v>
      </c>
      <c r="G21" s="41" t="s">
        <v>504</v>
      </c>
      <c r="H21" s="41" t="s">
        <v>494</v>
      </c>
      <c r="I21" s="41" t="s">
        <v>488</v>
      </c>
      <c r="J21" s="41" t="s">
        <v>505</v>
      </c>
      <c r="K21" s="41" t="s">
        <v>475</v>
      </c>
    </row>
    <row r="22" customFormat="false" ht="21.75" hidden="false" customHeight="true" outlineLevel="0" collapsed="false">
      <c r="A22" s="40" t="n">
        <v>17</v>
      </c>
      <c r="B22" s="40" t="s">
        <v>41</v>
      </c>
      <c r="C22" s="40" t="s">
        <v>80</v>
      </c>
      <c r="D22" s="41" t="s">
        <v>100</v>
      </c>
      <c r="E22" s="41"/>
      <c r="F22" s="41" t="s">
        <v>506</v>
      </c>
      <c r="G22" s="41" t="s">
        <v>507</v>
      </c>
      <c r="H22" s="41" t="s">
        <v>494</v>
      </c>
      <c r="I22" s="41" t="s">
        <v>317</v>
      </c>
      <c r="J22" s="41" t="s">
        <v>508</v>
      </c>
      <c r="K22" s="41" t="s">
        <v>475</v>
      </c>
    </row>
    <row r="23" customFormat="false" ht="42.75" hidden="false" customHeight="true" outlineLevel="0" collapsed="false">
      <c r="A23" s="40" t="n">
        <v>18</v>
      </c>
      <c r="B23" s="40" t="s">
        <v>41</v>
      </c>
      <c r="C23" s="40" t="s">
        <v>80</v>
      </c>
      <c r="D23" s="41" t="s">
        <v>102</v>
      </c>
      <c r="E23" s="41"/>
      <c r="F23" s="41" t="s">
        <v>509</v>
      </c>
      <c r="G23" s="41" t="s">
        <v>510</v>
      </c>
      <c r="H23" s="41" t="s">
        <v>494</v>
      </c>
      <c r="I23" s="41" t="s">
        <v>488</v>
      </c>
      <c r="J23" s="41" t="s">
        <v>511</v>
      </c>
      <c r="K23" s="41" t="s">
        <v>475</v>
      </c>
    </row>
    <row r="24" customFormat="false" ht="63.75" hidden="false" customHeight="true" outlineLevel="0" collapsed="false">
      <c r="A24" s="40" t="n">
        <v>19</v>
      </c>
      <c r="B24" s="40" t="s">
        <v>41</v>
      </c>
      <c r="C24" s="40" t="s">
        <v>80</v>
      </c>
      <c r="D24" s="41" t="s">
        <v>103</v>
      </c>
      <c r="E24" s="41"/>
      <c r="F24" s="41" t="s">
        <v>512</v>
      </c>
      <c r="G24" s="41" t="s">
        <v>510</v>
      </c>
      <c r="H24" s="41" t="s">
        <v>494</v>
      </c>
      <c r="I24" s="41" t="s">
        <v>513</v>
      </c>
      <c r="J24" s="41" t="s">
        <v>514</v>
      </c>
      <c r="K24" s="41" t="s">
        <v>475</v>
      </c>
    </row>
    <row r="25" customFormat="false" ht="32.25" hidden="false" customHeight="true" outlineLevel="0" collapsed="false">
      <c r="A25" s="40" t="n">
        <v>20</v>
      </c>
      <c r="B25" s="40" t="s">
        <v>41</v>
      </c>
      <c r="C25" s="40" t="s">
        <v>104</v>
      </c>
      <c r="D25" s="41" t="s">
        <v>105</v>
      </c>
      <c r="E25" s="41" t="s">
        <v>344</v>
      </c>
      <c r="F25" s="41" t="s">
        <v>515</v>
      </c>
      <c r="G25" s="41" t="s">
        <v>516</v>
      </c>
      <c r="H25" s="41" t="s">
        <v>517</v>
      </c>
      <c r="I25" s="41" t="s">
        <v>477</v>
      </c>
      <c r="J25" s="41" t="s">
        <v>518</v>
      </c>
      <c r="K25" s="41" t="s">
        <v>475</v>
      </c>
    </row>
    <row r="26" customFormat="false" ht="32.25" hidden="false" customHeight="true" outlineLevel="0" collapsed="false">
      <c r="A26" s="40" t="n">
        <v>21</v>
      </c>
      <c r="B26" s="40" t="s">
        <v>41</v>
      </c>
      <c r="C26" s="40" t="s">
        <v>104</v>
      </c>
      <c r="D26" s="41" t="s">
        <v>110</v>
      </c>
      <c r="E26" s="41" t="s">
        <v>519</v>
      </c>
      <c r="F26" s="41" t="s">
        <v>520</v>
      </c>
      <c r="G26" s="41" t="s">
        <v>521</v>
      </c>
      <c r="H26" s="41" t="s">
        <v>517</v>
      </c>
      <c r="I26" s="41" t="s">
        <v>477</v>
      </c>
      <c r="J26" s="41" t="s">
        <v>522</v>
      </c>
      <c r="K26" s="41" t="s">
        <v>475</v>
      </c>
    </row>
    <row r="27" customFormat="false" ht="32.25" hidden="false" customHeight="true" outlineLevel="0" collapsed="false">
      <c r="A27" s="40" t="n">
        <v>22</v>
      </c>
      <c r="B27" s="40" t="s">
        <v>41</v>
      </c>
      <c r="C27" s="40" t="s">
        <v>104</v>
      </c>
      <c r="D27" s="41" t="s">
        <v>115</v>
      </c>
      <c r="E27" s="41"/>
      <c r="F27" s="41" t="s">
        <v>523</v>
      </c>
      <c r="G27" s="41"/>
      <c r="H27" s="41" t="s">
        <v>517</v>
      </c>
      <c r="I27" s="41" t="s">
        <v>488</v>
      </c>
      <c r="J27" s="41" t="s">
        <v>115</v>
      </c>
      <c r="K27" s="41" t="s">
        <v>475</v>
      </c>
    </row>
    <row r="28" customFormat="false" ht="32.25" hidden="false" customHeight="true" outlineLevel="0" collapsed="false">
      <c r="A28" s="40" t="n">
        <v>23</v>
      </c>
      <c r="B28" s="40" t="s">
        <v>41</v>
      </c>
      <c r="C28" s="40" t="s">
        <v>104</v>
      </c>
      <c r="D28" s="41" t="s">
        <v>116</v>
      </c>
      <c r="E28" s="41"/>
      <c r="F28" s="41" t="s">
        <v>523</v>
      </c>
      <c r="G28" s="41"/>
      <c r="H28" s="41" t="s">
        <v>517</v>
      </c>
      <c r="I28" s="41" t="s">
        <v>488</v>
      </c>
      <c r="J28" s="41" t="s">
        <v>116</v>
      </c>
      <c r="K28" s="41" t="s">
        <v>475</v>
      </c>
    </row>
    <row r="29" customFormat="false" ht="32.25" hidden="false" customHeight="true" outlineLevel="0" collapsed="false">
      <c r="A29" s="40" t="n">
        <v>24</v>
      </c>
      <c r="B29" s="40" t="s">
        <v>41</v>
      </c>
      <c r="C29" s="40" t="s">
        <v>104</v>
      </c>
      <c r="D29" s="41" t="s">
        <v>117</v>
      </c>
      <c r="E29" s="41" t="s">
        <v>524</v>
      </c>
      <c r="F29" s="41" t="s">
        <v>525</v>
      </c>
      <c r="G29" s="41" t="s">
        <v>521</v>
      </c>
      <c r="H29" s="41" t="s">
        <v>517</v>
      </c>
      <c r="I29" s="41" t="s">
        <v>477</v>
      </c>
      <c r="J29" s="41" t="s">
        <v>526</v>
      </c>
      <c r="K29" s="41" t="s">
        <v>475</v>
      </c>
    </row>
    <row r="30" customFormat="false" ht="32.25" hidden="false" customHeight="true" outlineLevel="0" collapsed="false">
      <c r="A30" s="40" t="n">
        <v>25</v>
      </c>
      <c r="B30" s="40" t="s">
        <v>41</v>
      </c>
      <c r="C30" s="40" t="s">
        <v>104</v>
      </c>
      <c r="D30" s="41" t="s">
        <v>118</v>
      </c>
      <c r="E30" s="41"/>
      <c r="F30" s="41" t="s">
        <v>527</v>
      </c>
      <c r="G30" s="41"/>
      <c r="H30" s="41" t="s">
        <v>517</v>
      </c>
      <c r="I30" s="41" t="s">
        <v>317</v>
      </c>
      <c r="J30" s="41" t="s">
        <v>118</v>
      </c>
      <c r="K30" s="41" t="s">
        <v>475</v>
      </c>
    </row>
    <row r="31" customFormat="false" ht="32.25" hidden="false" customHeight="true" outlineLevel="0" collapsed="false">
      <c r="A31" s="40" t="n">
        <v>26</v>
      </c>
      <c r="B31" s="40" t="s">
        <v>41</v>
      </c>
      <c r="C31" s="40" t="s">
        <v>104</v>
      </c>
      <c r="D31" s="41" t="s">
        <v>119</v>
      </c>
      <c r="E31" s="41"/>
      <c r="F31" s="41" t="s">
        <v>527</v>
      </c>
      <c r="G31" s="41"/>
      <c r="H31" s="41" t="s">
        <v>517</v>
      </c>
      <c r="I31" s="41" t="s">
        <v>488</v>
      </c>
      <c r="J31" s="41" t="s">
        <v>528</v>
      </c>
      <c r="K31" s="41" t="s">
        <v>475</v>
      </c>
    </row>
    <row r="32" customFormat="false" ht="21.75" hidden="false" customHeight="true" outlineLevel="0" collapsed="false">
      <c r="A32" s="40" t="n">
        <v>27</v>
      </c>
      <c r="B32" s="40" t="s">
        <v>41</v>
      </c>
      <c r="C32" s="40" t="s">
        <v>120</v>
      </c>
      <c r="D32" s="41" t="s">
        <v>121</v>
      </c>
      <c r="E32" s="41" t="s">
        <v>498</v>
      </c>
      <c r="F32" s="41" t="s">
        <v>529</v>
      </c>
      <c r="G32" s="41" t="s">
        <v>530</v>
      </c>
      <c r="H32" s="41" t="s">
        <v>531</v>
      </c>
      <c r="I32" s="41" t="s">
        <v>477</v>
      </c>
      <c r="J32" s="41" t="s">
        <v>121</v>
      </c>
      <c r="K32" s="41" t="s">
        <v>475</v>
      </c>
    </row>
    <row r="33" customFormat="false" ht="32.25" hidden="false" customHeight="true" outlineLevel="0" collapsed="false">
      <c r="A33" s="40" t="n">
        <v>28</v>
      </c>
      <c r="B33" s="40" t="s">
        <v>41</v>
      </c>
      <c r="C33" s="40" t="s">
        <v>120</v>
      </c>
      <c r="D33" s="41" t="s">
        <v>126</v>
      </c>
      <c r="E33" s="41" t="s">
        <v>532</v>
      </c>
      <c r="F33" s="41" t="s">
        <v>533</v>
      </c>
      <c r="G33" s="41" t="s">
        <v>530</v>
      </c>
      <c r="H33" s="41" t="s">
        <v>531</v>
      </c>
      <c r="I33" s="41" t="s">
        <v>477</v>
      </c>
      <c r="J33" s="41" t="s">
        <v>126</v>
      </c>
      <c r="K33" s="41" t="s">
        <v>475</v>
      </c>
    </row>
    <row r="34" customFormat="false" ht="15" hidden="false" customHeight="true" outlineLevel="0" collapsed="false">
      <c r="A34" s="40" t="n">
        <v>29</v>
      </c>
      <c r="B34" s="40" t="s">
        <v>41</v>
      </c>
      <c r="C34" s="40" t="s">
        <v>120</v>
      </c>
      <c r="D34" s="41" t="s">
        <v>131</v>
      </c>
      <c r="E34" s="41" t="s">
        <v>495</v>
      </c>
      <c r="F34" s="41" t="s">
        <v>525</v>
      </c>
      <c r="G34" s="41" t="s">
        <v>534</v>
      </c>
      <c r="H34" s="41" t="s">
        <v>531</v>
      </c>
      <c r="I34" s="41" t="s">
        <v>317</v>
      </c>
      <c r="J34" s="41" t="s">
        <v>131</v>
      </c>
      <c r="K34" s="41" t="s">
        <v>475</v>
      </c>
    </row>
    <row r="35" customFormat="false" ht="21.75" hidden="false" customHeight="true" outlineLevel="0" collapsed="false">
      <c r="A35" s="40" t="n">
        <v>30</v>
      </c>
      <c r="B35" s="40" t="s">
        <v>41</v>
      </c>
      <c r="C35" s="40" t="s">
        <v>120</v>
      </c>
      <c r="D35" s="41" t="s">
        <v>132</v>
      </c>
      <c r="E35" s="41" t="s">
        <v>112</v>
      </c>
      <c r="F35" s="41"/>
      <c r="G35" s="41" t="s">
        <v>530</v>
      </c>
      <c r="H35" s="41" t="s">
        <v>531</v>
      </c>
      <c r="I35" s="41" t="s">
        <v>477</v>
      </c>
      <c r="J35" s="41" t="s">
        <v>132</v>
      </c>
      <c r="K35" s="41" t="s">
        <v>475</v>
      </c>
    </row>
    <row r="36" customFormat="false" ht="42.75" hidden="false" customHeight="true" outlineLevel="0" collapsed="false">
      <c r="A36" s="40" t="n">
        <v>31</v>
      </c>
      <c r="B36" s="40" t="s">
        <v>41</v>
      </c>
      <c r="C36" s="40" t="s">
        <v>120</v>
      </c>
      <c r="D36" s="41" t="s">
        <v>133</v>
      </c>
      <c r="E36" s="41" t="s">
        <v>535</v>
      </c>
      <c r="F36" s="41" t="s">
        <v>536</v>
      </c>
      <c r="G36" s="41" t="s">
        <v>537</v>
      </c>
      <c r="H36" s="41" t="s">
        <v>531</v>
      </c>
      <c r="I36" s="41" t="s">
        <v>488</v>
      </c>
      <c r="J36" s="41" t="s">
        <v>538</v>
      </c>
      <c r="K36" s="41" t="s">
        <v>475</v>
      </c>
    </row>
    <row r="37" customFormat="false" ht="42.75" hidden="false" customHeight="true" outlineLevel="0" collapsed="false">
      <c r="A37" s="40" t="n">
        <v>32</v>
      </c>
      <c r="B37" s="40" t="s">
        <v>41</v>
      </c>
      <c r="C37" s="40" t="s">
        <v>120</v>
      </c>
      <c r="D37" s="41" t="s">
        <v>134</v>
      </c>
      <c r="E37" s="41" t="s">
        <v>535</v>
      </c>
      <c r="F37" s="41" t="s">
        <v>536</v>
      </c>
      <c r="G37" s="41" t="s">
        <v>537</v>
      </c>
      <c r="H37" s="41" t="s">
        <v>531</v>
      </c>
      <c r="I37" s="41" t="s">
        <v>488</v>
      </c>
      <c r="J37" s="41" t="s">
        <v>539</v>
      </c>
      <c r="K37" s="41" t="s">
        <v>475</v>
      </c>
    </row>
    <row r="38" customFormat="false" ht="74.25" hidden="false" customHeight="true" outlineLevel="0" collapsed="false">
      <c r="A38" s="40" t="n">
        <v>33</v>
      </c>
      <c r="B38" s="40" t="s">
        <v>135</v>
      </c>
      <c r="C38" s="40" t="s">
        <v>136</v>
      </c>
      <c r="D38" s="41" t="s">
        <v>137</v>
      </c>
      <c r="E38" s="41"/>
      <c r="F38" s="41" t="s">
        <v>540</v>
      </c>
      <c r="G38" s="41" t="s">
        <v>541</v>
      </c>
      <c r="H38" s="41" t="s">
        <v>542</v>
      </c>
      <c r="I38" s="41" t="s">
        <v>488</v>
      </c>
      <c r="J38" s="41" t="s">
        <v>543</v>
      </c>
      <c r="K38" s="41" t="s">
        <v>475</v>
      </c>
    </row>
    <row r="39" customFormat="false" ht="74.25" hidden="false" customHeight="true" outlineLevel="0" collapsed="false">
      <c r="A39" s="40" t="n">
        <v>34</v>
      </c>
      <c r="B39" s="40" t="s">
        <v>135</v>
      </c>
      <c r="C39" s="40" t="s">
        <v>136</v>
      </c>
      <c r="D39" s="41" t="s">
        <v>139</v>
      </c>
      <c r="E39" s="41"/>
      <c r="F39" s="41" t="s">
        <v>540</v>
      </c>
      <c r="G39" s="41" t="s">
        <v>541</v>
      </c>
      <c r="H39" s="41" t="s">
        <v>542</v>
      </c>
      <c r="I39" s="41" t="s">
        <v>488</v>
      </c>
      <c r="J39" s="41" t="s">
        <v>543</v>
      </c>
      <c r="K39" s="41" t="s">
        <v>475</v>
      </c>
    </row>
    <row r="40" customFormat="false" ht="74.25" hidden="false" customHeight="true" outlineLevel="0" collapsed="false">
      <c r="A40" s="40" t="n">
        <v>35</v>
      </c>
      <c r="B40" s="40" t="s">
        <v>135</v>
      </c>
      <c r="C40" s="40" t="s">
        <v>136</v>
      </c>
      <c r="D40" s="41" t="s">
        <v>144</v>
      </c>
      <c r="E40" s="41"/>
      <c r="F40" s="41" t="s">
        <v>540</v>
      </c>
      <c r="G40" s="41" t="s">
        <v>541</v>
      </c>
      <c r="H40" s="41" t="s">
        <v>542</v>
      </c>
      <c r="I40" s="41" t="s">
        <v>488</v>
      </c>
      <c r="J40" s="41" t="s">
        <v>543</v>
      </c>
      <c r="K40" s="41" t="s">
        <v>475</v>
      </c>
    </row>
    <row r="41" customFormat="false" ht="42.75" hidden="false" customHeight="true" outlineLevel="0" collapsed="false">
      <c r="A41" s="40" t="n">
        <v>36</v>
      </c>
      <c r="B41" s="40" t="s">
        <v>135</v>
      </c>
      <c r="C41" s="40" t="s">
        <v>136</v>
      </c>
      <c r="D41" s="41" t="s">
        <v>126</v>
      </c>
      <c r="E41" s="41"/>
      <c r="F41" s="41" t="s">
        <v>544</v>
      </c>
      <c r="G41" s="41" t="s">
        <v>545</v>
      </c>
      <c r="H41" s="41" t="s">
        <v>542</v>
      </c>
      <c r="I41" s="41" t="s">
        <v>488</v>
      </c>
      <c r="J41" s="41" t="s">
        <v>126</v>
      </c>
      <c r="K41" s="41" t="s">
        <v>475</v>
      </c>
    </row>
    <row r="42" customFormat="false" ht="32.25" hidden="false" customHeight="true" outlineLevel="0" collapsed="false">
      <c r="A42" s="40" t="n">
        <v>37</v>
      </c>
      <c r="B42" s="40" t="s">
        <v>135</v>
      </c>
      <c r="C42" s="40" t="s">
        <v>136</v>
      </c>
      <c r="D42" s="41" t="s">
        <v>149</v>
      </c>
      <c r="E42" s="41"/>
      <c r="F42" s="41" t="s">
        <v>546</v>
      </c>
      <c r="G42" s="41" t="s">
        <v>547</v>
      </c>
      <c r="H42" s="41" t="s">
        <v>542</v>
      </c>
      <c r="I42" s="41" t="s">
        <v>317</v>
      </c>
      <c r="J42" s="41" t="s">
        <v>149</v>
      </c>
      <c r="K42" s="41" t="s">
        <v>475</v>
      </c>
    </row>
    <row r="43" customFormat="false" ht="32.25" hidden="false" customHeight="true" outlineLevel="0" collapsed="false">
      <c r="A43" s="40" t="n">
        <v>38</v>
      </c>
      <c r="B43" s="40" t="s">
        <v>135</v>
      </c>
      <c r="C43" s="40" t="s">
        <v>150</v>
      </c>
      <c r="D43" s="41" t="s">
        <v>151</v>
      </c>
      <c r="E43" s="41" t="s">
        <v>548</v>
      </c>
      <c r="F43" s="41"/>
      <c r="G43" s="41" t="s">
        <v>549</v>
      </c>
      <c r="H43" s="41" t="s">
        <v>550</v>
      </c>
      <c r="I43" s="41" t="s">
        <v>317</v>
      </c>
      <c r="J43" s="41" t="s">
        <v>151</v>
      </c>
      <c r="K43" s="41" t="s">
        <v>475</v>
      </c>
    </row>
    <row r="44" customFormat="false" ht="32.25" hidden="false" customHeight="true" outlineLevel="0" collapsed="false">
      <c r="A44" s="40" t="n">
        <v>39</v>
      </c>
      <c r="B44" s="40" t="s">
        <v>135</v>
      </c>
      <c r="C44" s="40" t="s">
        <v>150</v>
      </c>
      <c r="D44" s="41" t="s">
        <v>155</v>
      </c>
      <c r="E44" s="41" t="s">
        <v>551</v>
      </c>
      <c r="F44" s="41" t="s">
        <v>552</v>
      </c>
      <c r="G44" s="41" t="s">
        <v>553</v>
      </c>
      <c r="H44" s="41" t="s">
        <v>550</v>
      </c>
      <c r="I44" s="41" t="s">
        <v>317</v>
      </c>
      <c r="J44" s="41" t="s">
        <v>554</v>
      </c>
      <c r="K44" s="41" t="s">
        <v>475</v>
      </c>
    </row>
    <row r="45" customFormat="false" ht="32.25" hidden="false" customHeight="true" outlineLevel="0" collapsed="false">
      <c r="A45" s="40" t="n">
        <v>40</v>
      </c>
      <c r="B45" s="40" t="s">
        <v>135</v>
      </c>
      <c r="C45" s="40" t="s">
        <v>150</v>
      </c>
      <c r="D45" s="41" t="s">
        <v>156</v>
      </c>
      <c r="E45" s="41" t="s">
        <v>470</v>
      </c>
      <c r="F45" s="41"/>
      <c r="G45" s="41" t="s">
        <v>549</v>
      </c>
      <c r="H45" s="41" t="s">
        <v>550</v>
      </c>
      <c r="I45" s="41" t="s">
        <v>317</v>
      </c>
      <c r="J45" s="41" t="s">
        <v>156</v>
      </c>
      <c r="K45" s="41" t="s">
        <v>475</v>
      </c>
    </row>
    <row r="46" customFormat="false" ht="32.25" hidden="false" customHeight="true" outlineLevel="0" collapsed="false">
      <c r="A46" s="40" t="n">
        <v>41</v>
      </c>
      <c r="B46" s="40" t="s">
        <v>135</v>
      </c>
      <c r="C46" s="40" t="s">
        <v>150</v>
      </c>
      <c r="D46" s="41" t="s">
        <v>157</v>
      </c>
      <c r="E46" s="41" t="s">
        <v>470</v>
      </c>
      <c r="F46" s="41"/>
      <c r="G46" s="41" t="s">
        <v>549</v>
      </c>
      <c r="H46" s="41" t="s">
        <v>550</v>
      </c>
      <c r="I46" s="41" t="s">
        <v>317</v>
      </c>
      <c r="J46" s="41" t="s">
        <v>157</v>
      </c>
      <c r="K46" s="41" t="s">
        <v>475</v>
      </c>
    </row>
    <row r="47" customFormat="false" ht="32.25" hidden="false" customHeight="true" outlineLevel="0" collapsed="false">
      <c r="A47" s="40" t="n">
        <v>42</v>
      </c>
      <c r="B47" s="40" t="s">
        <v>135</v>
      </c>
      <c r="C47" s="40" t="s">
        <v>150</v>
      </c>
      <c r="D47" s="41" t="s">
        <v>158</v>
      </c>
      <c r="E47" s="41" t="s">
        <v>555</v>
      </c>
      <c r="F47" s="41" t="s">
        <v>556</v>
      </c>
      <c r="G47" s="41" t="s">
        <v>549</v>
      </c>
      <c r="H47" s="41" t="s">
        <v>550</v>
      </c>
      <c r="I47" s="41" t="s">
        <v>317</v>
      </c>
      <c r="J47" s="41" t="s">
        <v>158</v>
      </c>
      <c r="K47" s="41" t="s">
        <v>475</v>
      </c>
    </row>
    <row r="48" customFormat="false" ht="32.25" hidden="false" customHeight="true" outlineLevel="0" collapsed="false">
      <c r="A48" s="40" t="n">
        <v>43</v>
      </c>
      <c r="B48" s="40" t="s">
        <v>135</v>
      </c>
      <c r="C48" s="40" t="s">
        <v>150</v>
      </c>
      <c r="D48" s="41" t="s">
        <v>159</v>
      </c>
      <c r="E48" s="41" t="s">
        <v>557</v>
      </c>
      <c r="F48" s="41" t="s">
        <v>558</v>
      </c>
      <c r="G48" s="41" t="s">
        <v>559</v>
      </c>
      <c r="H48" s="41" t="s">
        <v>550</v>
      </c>
      <c r="I48" s="41" t="s">
        <v>317</v>
      </c>
      <c r="J48" s="41" t="s">
        <v>159</v>
      </c>
      <c r="K48" s="41" t="s">
        <v>475</v>
      </c>
    </row>
    <row r="49" customFormat="false" ht="32.25" hidden="false" customHeight="true" outlineLevel="0" collapsed="false">
      <c r="A49" s="40" t="n">
        <v>44</v>
      </c>
      <c r="B49" s="40" t="s">
        <v>135</v>
      </c>
      <c r="C49" s="40" t="s">
        <v>150</v>
      </c>
      <c r="D49" s="41" t="s">
        <v>160</v>
      </c>
      <c r="E49" s="41"/>
      <c r="F49" s="41" t="s">
        <v>560</v>
      </c>
      <c r="G49" s="41" t="s">
        <v>561</v>
      </c>
      <c r="H49" s="41" t="s">
        <v>550</v>
      </c>
      <c r="I49" s="41" t="s">
        <v>317</v>
      </c>
      <c r="J49" s="41" t="s">
        <v>484</v>
      </c>
      <c r="K49" s="41" t="s">
        <v>475</v>
      </c>
    </row>
    <row r="50" customFormat="false" ht="32.25" hidden="false" customHeight="true" outlineLevel="0" collapsed="false">
      <c r="A50" s="40" t="n">
        <v>45</v>
      </c>
      <c r="B50" s="40" t="s">
        <v>135</v>
      </c>
      <c r="C50" s="40" t="s">
        <v>150</v>
      </c>
      <c r="D50" s="41" t="s">
        <v>164</v>
      </c>
      <c r="E50" s="41" t="s">
        <v>562</v>
      </c>
      <c r="F50" s="41" t="s">
        <v>563</v>
      </c>
      <c r="G50" s="41" t="s">
        <v>564</v>
      </c>
      <c r="H50" s="41" t="s">
        <v>550</v>
      </c>
      <c r="I50" s="41" t="s">
        <v>317</v>
      </c>
      <c r="J50" s="41" t="s">
        <v>164</v>
      </c>
      <c r="K50" s="41" t="s">
        <v>475</v>
      </c>
    </row>
    <row r="51" customFormat="false" ht="32.25" hidden="false" customHeight="true" outlineLevel="0" collapsed="false">
      <c r="A51" s="40" t="n">
        <v>46</v>
      </c>
      <c r="B51" s="40" t="s">
        <v>135</v>
      </c>
      <c r="C51" s="40" t="s">
        <v>150</v>
      </c>
      <c r="D51" s="41" t="s">
        <v>166</v>
      </c>
      <c r="E51" s="41" t="s">
        <v>562</v>
      </c>
      <c r="F51" s="41" t="s">
        <v>565</v>
      </c>
      <c r="G51" s="41" t="s">
        <v>566</v>
      </c>
      <c r="H51" s="41" t="s">
        <v>550</v>
      </c>
      <c r="I51" s="41" t="s">
        <v>317</v>
      </c>
      <c r="J51" s="41" t="s">
        <v>166</v>
      </c>
      <c r="K51" s="41" t="s">
        <v>475</v>
      </c>
    </row>
    <row r="52" customFormat="false" ht="32.25" hidden="false" customHeight="true" outlineLevel="0" collapsed="false">
      <c r="A52" s="40" t="n">
        <v>47</v>
      </c>
      <c r="B52" s="40" t="s">
        <v>135</v>
      </c>
      <c r="C52" s="40" t="s">
        <v>150</v>
      </c>
      <c r="D52" s="41" t="s">
        <v>171</v>
      </c>
      <c r="E52" s="41"/>
      <c r="F52" s="41" t="s">
        <v>567</v>
      </c>
      <c r="G52" s="41" t="s">
        <v>566</v>
      </c>
      <c r="H52" s="41" t="s">
        <v>550</v>
      </c>
      <c r="I52" s="41" t="s">
        <v>317</v>
      </c>
      <c r="J52" s="41" t="s">
        <v>568</v>
      </c>
      <c r="K52" s="41" t="s">
        <v>475</v>
      </c>
    </row>
    <row r="53" customFormat="false" ht="32.25" hidden="false" customHeight="true" outlineLevel="0" collapsed="false">
      <c r="A53" s="40" t="n">
        <v>48</v>
      </c>
      <c r="B53" s="40" t="s">
        <v>135</v>
      </c>
      <c r="C53" s="40" t="s">
        <v>175</v>
      </c>
      <c r="D53" s="41" t="s">
        <v>176</v>
      </c>
      <c r="E53" s="41" t="s">
        <v>498</v>
      </c>
      <c r="F53" s="41"/>
      <c r="G53" s="41" t="s">
        <v>569</v>
      </c>
      <c r="H53" s="41" t="s">
        <v>570</v>
      </c>
      <c r="I53" s="41" t="s">
        <v>477</v>
      </c>
      <c r="J53" s="41" t="s">
        <v>176</v>
      </c>
      <c r="K53" s="41" t="s">
        <v>475</v>
      </c>
    </row>
    <row r="54" customFormat="false" ht="32.25" hidden="false" customHeight="true" outlineLevel="0" collapsed="false">
      <c r="A54" s="40" t="n">
        <v>49</v>
      </c>
      <c r="B54" s="40" t="s">
        <v>135</v>
      </c>
      <c r="C54" s="40" t="s">
        <v>175</v>
      </c>
      <c r="D54" s="41" t="s">
        <v>179</v>
      </c>
      <c r="E54" s="41" t="s">
        <v>571</v>
      </c>
      <c r="F54" s="41"/>
      <c r="G54" s="41" t="s">
        <v>569</v>
      </c>
      <c r="H54" s="41" t="s">
        <v>570</v>
      </c>
      <c r="I54" s="41" t="s">
        <v>477</v>
      </c>
      <c r="J54" s="41" t="s">
        <v>179</v>
      </c>
      <c r="K54" s="41" t="s">
        <v>475</v>
      </c>
    </row>
    <row r="55" customFormat="false" ht="32.25" hidden="false" customHeight="true" outlineLevel="0" collapsed="false">
      <c r="A55" s="40" t="n">
        <v>50</v>
      </c>
      <c r="B55" s="40" t="s">
        <v>135</v>
      </c>
      <c r="C55" s="40" t="s">
        <v>175</v>
      </c>
      <c r="D55" s="41" t="s">
        <v>183</v>
      </c>
      <c r="E55" s="41"/>
      <c r="F55" s="41" t="s">
        <v>572</v>
      </c>
      <c r="G55" s="41" t="s">
        <v>573</v>
      </c>
      <c r="H55" s="41" t="s">
        <v>570</v>
      </c>
      <c r="I55" s="41" t="s">
        <v>317</v>
      </c>
      <c r="J55" s="41" t="s">
        <v>574</v>
      </c>
      <c r="K55" s="41" t="s">
        <v>475</v>
      </c>
    </row>
    <row r="56" customFormat="false" ht="32.25" hidden="false" customHeight="true" outlineLevel="0" collapsed="false">
      <c r="A56" s="40" t="n">
        <v>51</v>
      </c>
      <c r="B56" s="40" t="s">
        <v>135</v>
      </c>
      <c r="C56" s="40" t="s">
        <v>175</v>
      </c>
      <c r="D56" s="41" t="s">
        <v>184</v>
      </c>
      <c r="E56" s="41" t="s">
        <v>575</v>
      </c>
      <c r="F56" s="41"/>
      <c r="G56" s="41" t="s">
        <v>569</v>
      </c>
      <c r="H56" s="41" t="s">
        <v>570</v>
      </c>
      <c r="I56" s="41" t="s">
        <v>477</v>
      </c>
      <c r="J56" s="41" t="s">
        <v>576</v>
      </c>
      <c r="K56" s="41" t="s">
        <v>475</v>
      </c>
    </row>
    <row r="57" customFormat="false" ht="32.25" hidden="false" customHeight="true" outlineLevel="0" collapsed="false">
      <c r="A57" s="40" t="n">
        <v>52</v>
      </c>
      <c r="B57" s="40" t="s">
        <v>135</v>
      </c>
      <c r="C57" s="40" t="s">
        <v>175</v>
      </c>
      <c r="D57" s="41" t="s">
        <v>185</v>
      </c>
      <c r="E57" s="41"/>
      <c r="F57" s="41" t="s">
        <v>577</v>
      </c>
      <c r="G57" s="41" t="s">
        <v>578</v>
      </c>
      <c r="H57" s="41" t="s">
        <v>570</v>
      </c>
      <c r="I57" s="41" t="s">
        <v>488</v>
      </c>
      <c r="J57" s="41" t="s">
        <v>579</v>
      </c>
      <c r="K57" s="41" t="s">
        <v>475</v>
      </c>
    </row>
    <row r="58" customFormat="false" ht="32.25" hidden="false" customHeight="true" outlineLevel="0" collapsed="false">
      <c r="A58" s="40" t="n">
        <v>53</v>
      </c>
      <c r="B58" s="40" t="s">
        <v>135</v>
      </c>
      <c r="C58" s="40" t="s">
        <v>175</v>
      </c>
      <c r="D58" s="41" t="s">
        <v>186</v>
      </c>
      <c r="E58" s="41" t="s">
        <v>580</v>
      </c>
      <c r="F58" s="41" t="s">
        <v>581</v>
      </c>
      <c r="G58" s="41" t="s">
        <v>582</v>
      </c>
      <c r="H58" s="41" t="s">
        <v>570</v>
      </c>
      <c r="I58" s="41" t="s">
        <v>317</v>
      </c>
      <c r="J58" s="41" t="s">
        <v>583</v>
      </c>
      <c r="K58" s="41" t="s">
        <v>475</v>
      </c>
    </row>
    <row r="59" customFormat="false" ht="32.25" hidden="false" customHeight="true" outlineLevel="0" collapsed="false">
      <c r="A59" s="40" t="n">
        <v>54</v>
      </c>
      <c r="B59" s="40" t="s">
        <v>135</v>
      </c>
      <c r="C59" s="40" t="s">
        <v>175</v>
      </c>
      <c r="D59" s="41" t="s">
        <v>191</v>
      </c>
      <c r="E59" s="41" t="s">
        <v>584</v>
      </c>
      <c r="F59" s="41" t="s">
        <v>581</v>
      </c>
      <c r="G59" s="41" t="s">
        <v>585</v>
      </c>
      <c r="H59" s="41" t="s">
        <v>570</v>
      </c>
      <c r="I59" s="41" t="s">
        <v>317</v>
      </c>
      <c r="J59" s="41" t="s">
        <v>586</v>
      </c>
      <c r="K59" s="41" t="s">
        <v>475</v>
      </c>
    </row>
    <row r="60" customFormat="false" ht="32.25" hidden="false" customHeight="true" outlineLevel="0" collapsed="false">
      <c r="A60" s="40" t="n">
        <v>55</v>
      </c>
      <c r="B60" s="40" t="s">
        <v>135</v>
      </c>
      <c r="C60" s="40" t="s">
        <v>175</v>
      </c>
      <c r="D60" s="41" t="s">
        <v>192</v>
      </c>
      <c r="E60" s="41" t="s">
        <v>587</v>
      </c>
      <c r="F60" s="41" t="s">
        <v>588</v>
      </c>
      <c r="G60" s="41" t="s">
        <v>589</v>
      </c>
      <c r="H60" s="41" t="s">
        <v>570</v>
      </c>
      <c r="I60" s="41" t="s">
        <v>317</v>
      </c>
      <c r="J60" s="41" t="s">
        <v>590</v>
      </c>
      <c r="K60" s="41" t="s">
        <v>475</v>
      </c>
    </row>
    <row r="61" customFormat="false" ht="32.25" hidden="false" customHeight="true" outlineLevel="0" collapsed="false">
      <c r="A61" s="40" t="n">
        <v>56</v>
      </c>
      <c r="B61" s="40" t="s">
        <v>135</v>
      </c>
      <c r="C61" s="40" t="s">
        <v>175</v>
      </c>
      <c r="D61" s="41" t="s">
        <v>193</v>
      </c>
      <c r="E61" s="41"/>
      <c r="F61" s="41" t="s">
        <v>591</v>
      </c>
      <c r="G61" s="41"/>
      <c r="H61" s="41" t="s">
        <v>570</v>
      </c>
      <c r="I61" s="41" t="s">
        <v>317</v>
      </c>
      <c r="J61" s="41" t="s">
        <v>592</v>
      </c>
      <c r="K61" s="41" t="s">
        <v>475</v>
      </c>
    </row>
    <row r="62" customFormat="false" ht="32.25" hidden="false" customHeight="true" outlineLevel="0" collapsed="false">
      <c r="A62" s="40" t="n">
        <v>57</v>
      </c>
      <c r="B62" s="40" t="s">
        <v>135</v>
      </c>
      <c r="C62" s="40" t="s">
        <v>175</v>
      </c>
      <c r="D62" s="41" t="s">
        <v>194</v>
      </c>
      <c r="E62" s="41"/>
      <c r="F62" s="41" t="s">
        <v>591</v>
      </c>
      <c r="G62" s="41"/>
      <c r="H62" s="41" t="s">
        <v>570</v>
      </c>
      <c r="I62" s="41" t="s">
        <v>317</v>
      </c>
      <c r="J62" s="41" t="s">
        <v>194</v>
      </c>
      <c r="K62" s="41" t="s">
        <v>475</v>
      </c>
    </row>
    <row r="63" customFormat="false" ht="32.25" hidden="false" customHeight="true" outlineLevel="0" collapsed="false">
      <c r="A63" s="40" t="n">
        <v>58</v>
      </c>
      <c r="B63" s="40" t="s">
        <v>135</v>
      </c>
      <c r="C63" s="40" t="s">
        <v>175</v>
      </c>
      <c r="D63" s="41" t="s">
        <v>195</v>
      </c>
      <c r="E63" s="41"/>
      <c r="F63" s="41" t="s">
        <v>591</v>
      </c>
      <c r="G63" s="41"/>
      <c r="H63" s="41" t="s">
        <v>570</v>
      </c>
      <c r="I63" s="41" t="s">
        <v>317</v>
      </c>
      <c r="J63" s="41" t="s">
        <v>195</v>
      </c>
      <c r="K63" s="41" t="s">
        <v>475</v>
      </c>
    </row>
    <row r="64" customFormat="false" ht="63.75" hidden="false" customHeight="true" outlineLevel="0" collapsed="false">
      <c r="A64" s="40" t="n">
        <v>59</v>
      </c>
      <c r="B64" s="40" t="s">
        <v>196</v>
      </c>
      <c r="C64" s="40" t="s">
        <v>197</v>
      </c>
      <c r="D64" s="41" t="s">
        <v>198</v>
      </c>
      <c r="E64" s="41" t="s">
        <v>593</v>
      </c>
      <c r="F64" s="41" t="s">
        <v>594</v>
      </c>
      <c r="G64" s="41" t="s">
        <v>595</v>
      </c>
      <c r="H64" s="41" t="s">
        <v>596</v>
      </c>
      <c r="I64" s="41" t="s">
        <v>317</v>
      </c>
      <c r="J64" s="41" t="s">
        <v>597</v>
      </c>
      <c r="K64" s="41" t="s">
        <v>475</v>
      </c>
    </row>
    <row r="65" customFormat="false" ht="63.75" hidden="false" customHeight="true" outlineLevel="0" collapsed="false">
      <c r="A65" s="40" t="n">
        <v>60</v>
      </c>
      <c r="B65" s="40" t="s">
        <v>196</v>
      </c>
      <c r="C65" s="40" t="s">
        <v>197</v>
      </c>
      <c r="D65" s="41" t="s">
        <v>201</v>
      </c>
      <c r="E65" s="41" t="s">
        <v>593</v>
      </c>
      <c r="F65" s="41" t="s">
        <v>598</v>
      </c>
      <c r="G65" s="41" t="s">
        <v>595</v>
      </c>
      <c r="H65" s="41" t="s">
        <v>596</v>
      </c>
      <c r="I65" s="41" t="s">
        <v>317</v>
      </c>
      <c r="J65" s="41" t="s">
        <v>597</v>
      </c>
      <c r="K65" s="41" t="s">
        <v>475</v>
      </c>
    </row>
    <row r="66" customFormat="false" ht="32.25" hidden="false" customHeight="true" outlineLevel="0" collapsed="false">
      <c r="A66" s="40" t="n">
        <v>61</v>
      </c>
      <c r="B66" s="40" t="s">
        <v>196</v>
      </c>
      <c r="C66" s="40" t="s">
        <v>197</v>
      </c>
      <c r="D66" s="41" t="s">
        <v>203</v>
      </c>
      <c r="E66" s="41"/>
      <c r="F66" s="41" t="s">
        <v>599</v>
      </c>
      <c r="G66" s="41" t="s">
        <v>600</v>
      </c>
      <c r="H66" s="41" t="s">
        <v>596</v>
      </c>
      <c r="I66" s="41" t="s">
        <v>477</v>
      </c>
      <c r="J66" s="41" t="s">
        <v>203</v>
      </c>
      <c r="K66" s="41" t="s">
        <v>475</v>
      </c>
    </row>
    <row r="67" customFormat="false" ht="32.25" hidden="false" customHeight="true" outlineLevel="0" collapsed="false">
      <c r="A67" s="40" t="n">
        <v>62</v>
      </c>
      <c r="B67" s="40" t="s">
        <v>196</v>
      </c>
      <c r="C67" s="40" t="s">
        <v>197</v>
      </c>
      <c r="D67" s="41" t="s">
        <v>208</v>
      </c>
      <c r="E67" s="41" t="s">
        <v>601</v>
      </c>
      <c r="F67" s="41" t="s">
        <v>203</v>
      </c>
      <c r="G67" s="41" t="s">
        <v>602</v>
      </c>
      <c r="H67" s="41" t="s">
        <v>596</v>
      </c>
      <c r="I67" s="41" t="s">
        <v>477</v>
      </c>
      <c r="J67" s="41" t="s">
        <v>603</v>
      </c>
      <c r="K67" s="41" t="s">
        <v>475</v>
      </c>
    </row>
    <row r="68" customFormat="false" ht="32.25" hidden="false" customHeight="true" outlineLevel="0" collapsed="false">
      <c r="A68" s="40" t="n">
        <v>63</v>
      </c>
      <c r="B68" s="40" t="s">
        <v>196</v>
      </c>
      <c r="C68" s="40" t="s">
        <v>197</v>
      </c>
      <c r="D68" s="41" t="s">
        <v>213</v>
      </c>
      <c r="E68" s="41" t="s">
        <v>604</v>
      </c>
      <c r="F68" s="41"/>
      <c r="G68" s="41" t="s">
        <v>605</v>
      </c>
      <c r="H68" s="41" t="s">
        <v>596</v>
      </c>
      <c r="I68" s="41" t="s">
        <v>317</v>
      </c>
      <c r="J68" s="41" t="s">
        <v>213</v>
      </c>
      <c r="K68" s="41" t="s">
        <v>475</v>
      </c>
    </row>
    <row r="69" customFormat="false" ht="32.25" hidden="false" customHeight="true" outlineLevel="0" collapsed="false">
      <c r="A69" s="40" t="n">
        <v>64</v>
      </c>
      <c r="B69" s="40" t="s">
        <v>196</v>
      </c>
      <c r="C69" s="40" t="s">
        <v>197</v>
      </c>
      <c r="D69" s="41" t="s">
        <v>214</v>
      </c>
      <c r="E69" s="41" t="s">
        <v>606</v>
      </c>
      <c r="F69" s="41"/>
      <c r="G69" s="41" t="s">
        <v>607</v>
      </c>
      <c r="H69" s="41" t="s">
        <v>596</v>
      </c>
      <c r="I69" s="41" t="s">
        <v>317</v>
      </c>
      <c r="J69" s="41" t="s">
        <v>214</v>
      </c>
      <c r="K69" s="41" t="s">
        <v>475</v>
      </c>
    </row>
    <row r="70" customFormat="false" ht="42.75" hidden="false" customHeight="true" outlineLevel="0" collapsed="false">
      <c r="A70" s="40" t="n">
        <v>65</v>
      </c>
      <c r="B70" s="40" t="s">
        <v>196</v>
      </c>
      <c r="C70" s="40" t="s">
        <v>216</v>
      </c>
      <c r="D70" s="41" t="s">
        <v>217</v>
      </c>
      <c r="E70" s="41" t="s">
        <v>608</v>
      </c>
      <c r="F70" s="41" t="s">
        <v>213</v>
      </c>
      <c r="G70" s="41" t="s">
        <v>609</v>
      </c>
      <c r="H70" s="41" t="s">
        <v>610</v>
      </c>
      <c r="I70" s="41" t="s">
        <v>477</v>
      </c>
      <c r="J70" s="41" t="s">
        <v>217</v>
      </c>
      <c r="K70" s="41" t="s">
        <v>475</v>
      </c>
    </row>
    <row r="71" customFormat="false" ht="42.75" hidden="false" customHeight="true" outlineLevel="0" collapsed="false">
      <c r="A71" s="40" t="n">
        <v>66</v>
      </c>
      <c r="B71" s="40" t="s">
        <v>196</v>
      </c>
      <c r="C71" s="40" t="s">
        <v>216</v>
      </c>
      <c r="D71" s="41" t="s">
        <v>221</v>
      </c>
      <c r="E71" s="41" t="s">
        <v>611</v>
      </c>
      <c r="F71" s="41" t="s">
        <v>213</v>
      </c>
      <c r="G71" s="41" t="s">
        <v>609</v>
      </c>
      <c r="H71" s="41" t="s">
        <v>610</v>
      </c>
      <c r="I71" s="41" t="s">
        <v>477</v>
      </c>
      <c r="J71" s="41" t="s">
        <v>221</v>
      </c>
      <c r="K71" s="41" t="s">
        <v>475</v>
      </c>
    </row>
    <row r="72" customFormat="false" ht="42.75" hidden="false" customHeight="true" outlineLevel="0" collapsed="false">
      <c r="A72" s="40" t="n">
        <v>67</v>
      </c>
      <c r="B72" s="40" t="s">
        <v>196</v>
      </c>
      <c r="C72" s="40" t="s">
        <v>216</v>
      </c>
      <c r="D72" s="41" t="s">
        <v>228</v>
      </c>
      <c r="E72" s="41"/>
      <c r="F72" s="41" t="s">
        <v>612</v>
      </c>
      <c r="G72" s="41" t="s">
        <v>613</v>
      </c>
      <c r="H72" s="41" t="s">
        <v>610</v>
      </c>
      <c r="I72" s="41" t="s">
        <v>317</v>
      </c>
      <c r="J72" s="41" t="s">
        <v>614</v>
      </c>
      <c r="K72" s="41" t="s">
        <v>475</v>
      </c>
    </row>
    <row r="73" customFormat="false" ht="42.75" hidden="false" customHeight="true" outlineLevel="0" collapsed="false">
      <c r="A73" s="40" t="n">
        <v>68</v>
      </c>
      <c r="B73" s="40" t="s">
        <v>196</v>
      </c>
      <c r="C73" s="40" t="s">
        <v>216</v>
      </c>
      <c r="D73" s="41" t="s">
        <v>229</v>
      </c>
      <c r="E73" s="41" t="s">
        <v>344</v>
      </c>
      <c r="F73" s="41" t="s">
        <v>615</v>
      </c>
      <c r="G73" s="41" t="s">
        <v>616</v>
      </c>
      <c r="H73" s="41" t="s">
        <v>610</v>
      </c>
      <c r="I73" s="41" t="s">
        <v>317</v>
      </c>
      <c r="J73" s="41" t="s">
        <v>229</v>
      </c>
      <c r="K73" s="41" t="s">
        <v>475</v>
      </c>
    </row>
    <row r="74" customFormat="false" ht="42.75" hidden="false" customHeight="true" outlineLevel="0" collapsed="false">
      <c r="A74" s="40" t="n">
        <v>69</v>
      </c>
      <c r="B74" s="40" t="s">
        <v>196</v>
      </c>
      <c r="C74" s="40" t="s">
        <v>216</v>
      </c>
      <c r="D74" s="41" t="s">
        <v>230</v>
      </c>
      <c r="E74" s="41" t="s">
        <v>617</v>
      </c>
      <c r="F74" s="41" t="s">
        <v>618</v>
      </c>
      <c r="G74" s="41" t="s">
        <v>619</v>
      </c>
      <c r="H74" s="41" t="s">
        <v>610</v>
      </c>
      <c r="I74" s="41" t="s">
        <v>317</v>
      </c>
      <c r="J74" s="41" t="s">
        <v>620</v>
      </c>
      <c r="K74" s="41" t="s">
        <v>475</v>
      </c>
    </row>
    <row r="75" customFormat="false" ht="42.75" hidden="false" customHeight="true" outlineLevel="0" collapsed="false">
      <c r="A75" s="40" t="n">
        <v>70</v>
      </c>
      <c r="B75" s="40" t="s">
        <v>196</v>
      </c>
      <c r="C75" s="40" t="s">
        <v>216</v>
      </c>
      <c r="D75" s="41" t="s">
        <v>231</v>
      </c>
      <c r="E75" s="41" t="s">
        <v>621</v>
      </c>
      <c r="F75" s="41" t="s">
        <v>622</v>
      </c>
      <c r="G75" s="41" t="s">
        <v>623</v>
      </c>
      <c r="H75" s="41" t="s">
        <v>610</v>
      </c>
      <c r="I75" s="41" t="s">
        <v>317</v>
      </c>
      <c r="J75" s="41" t="s">
        <v>231</v>
      </c>
      <c r="K75" s="41" t="s">
        <v>475</v>
      </c>
    </row>
    <row r="76" customFormat="false" ht="32.25" hidden="false" customHeight="true" outlineLevel="0" collapsed="false">
      <c r="A76" s="40" t="n">
        <v>71</v>
      </c>
      <c r="B76" s="40" t="s">
        <v>196</v>
      </c>
      <c r="C76" s="40" t="s">
        <v>232</v>
      </c>
      <c r="D76" s="41" t="s">
        <v>233</v>
      </c>
      <c r="E76" s="41"/>
      <c r="F76" s="41" t="s">
        <v>624</v>
      </c>
      <c r="G76" s="41" t="s">
        <v>625</v>
      </c>
      <c r="H76" s="41" t="s">
        <v>626</v>
      </c>
      <c r="I76" s="41" t="s">
        <v>317</v>
      </c>
      <c r="J76" s="41" t="s">
        <v>612</v>
      </c>
      <c r="K76" s="41" t="s">
        <v>475</v>
      </c>
    </row>
    <row r="77" customFormat="false" ht="32.25" hidden="false" customHeight="true" outlineLevel="0" collapsed="false">
      <c r="A77" s="40" t="n">
        <v>72</v>
      </c>
      <c r="B77" s="40" t="s">
        <v>196</v>
      </c>
      <c r="C77" s="40" t="s">
        <v>232</v>
      </c>
      <c r="D77" s="41" t="s">
        <v>236</v>
      </c>
      <c r="E77" s="41"/>
      <c r="F77" s="41" t="s">
        <v>627</v>
      </c>
      <c r="G77" s="41" t="s">
        <v>625</v>
      </c>
      <c r="H77" s="41" t="s">
        <v>626</v>
      </c>
      <c r="I77" s="41" t="s">
        <v>317</v>
      </c>
      <c r="J77" s="41" t="s">
        <v>612</v>
      </c>
      <c r="K77" s="41" t="s">
        <v>475</v>
      </c>
    </row>
    <row r="78" customFormat="false" ht="32.25" hidden="false" customHeight="true" outlineLevel="0" collapsed="false">
      <c r="A78" s="40" t="n">
        <v>73</v>
      </c>
      <c r="B78" s="40" t="s">
        <v>196</v>
      </c>
      <c r="C78" s="40" t="s">
        <v>232</v>
      </c>
      <c r="D78" s="41" t="s">
        <v>239</v>
      </c>
      <c r="E78" s="41"/>
      <c r="F78" s="41" t="s">
        <v>628</v>
      </c>
      <c r="G78" s="41" t="s">
        <v>625</v>
      </c>
      <c r="H78" s="41" t="s">
        <v>626</v>
      </c>
      <c r="I78" s="41" t="s">
        <v>317</v>
      </c>
      <c r="J78" s="41" t="s">
        <v>612</v>
      </c>
      <c r="K78" s="41" t="s">
        <v>475</v>
      </c>
    </row>
    <row r="79" customFormat="false" ht="42.75" hidden="false" customHeight="true" outlineLevel="0" collapsed="false">
      <c r="A79" s="40" t="n">
        <v>74</v>
      </c>
      <c r="B79" s="40" t="s">
        <v>196</v>
      </c>
      <c r="C79" s="40" t="s">
        <v>232</v>
      </c>
      <c r="D79" s="41" t="s">
        <v>240</v>
      </c>
      <c r="E79" s="41" t="s">
        <v>629</v>
      </c>
      <c r="F79" s="41" t="s">
        <v>630</v>
      </c>
      <c r="G79" s="41" t="s">
        <v>631</v>
      </c>
      <c r="H79" s="41" t="s">
        <v>626</v>
      </c>
      <c r="I79" s="41" t="s">
        <v>317</v>
      </c>
      <c r="J79" s="41" t="s">
        <v>632</v>
      </c>
      <c r="K79" s="41" t="s">
        <v>475</v>
      </c>
    </row>
    <row r="80" customFormat="false" ht="42.75" hidden="false" customHeight="true" outlineLevel="0" collapsed="false">
      <c r="A80" s="40" t="n">
        <v>75</v>
      </c>
      <c r="B80" s="40" t="s">
        <v>196</v>
      </c>
      <c r="C80" s="40" t="s">
        <v>232</v>
      </c>
      <c r="D80" s="41" t="s">
        <v>243</v>
      </c>
      <c r="E80" s="41" t="s">
        <v>562</v>
      </c>
      <c r="F80" s="41" t="s">
        <v>633</v>
      </c>
      <c r="G80" s="41" t="s">
        <v>631</v>
      </c>
      <c r="H80" s="41" t="s">
        <v>626</v>
      </c>
      <c r="I80" s="41" t="s">
        <v>317</v>
      </c>
      <c r="J80" s="41" t="s">
        <v>632</v>
      </c>
      <c r="K80" s="41" t="s">
        <v>475</v>
      </c>
    </row>
    <row r="81" customFormat="false" ht="42.75" hidden="false" customHeight="true" outlineLevel="0" collapsed="false">
      <c r="A81" s="40" t="n">
        <v>76</v>
      </c>
      <c r="B81" s="40" t="s">
        <v>196</v>
      </c>
      <c r="C81" s="40" t="s">
        <v>232</v>
      </c>
      <c r="D81" s="41" t="s">
        <v>247</v>
      </c>
      <c r="E81" s="41" t="s">
        <v>634</v>
      </c>
      <c r="F81" s="41" t="s">
        <v>635</v>
      </c>
      <c r="G81" s="41" t="s">
        <v>631</v>
      </c>
      <c r="H81" s="41" t="s">
        <v>626</v>
      </c>
      <c r="I81" s="41" t="s">
        <v>317</v>
      </c>
      <c r="J81" s="41" t="s">
        <v>636</v>
      </c>
      <c r="K81" s="41" t="s">
        <v>475</v>
      </c>
    </row>
    <row r="82" customFormat="false" ht="42.75" hidden="false" customHeight="true" outlineLevel="0" collapsed="false">
      <c r="A82" s="40" t="n">
        <v>77</v>
      </c>
      <c r="B82" s="40" t="s">
        <v>196</v>
      </c>
      <c r="C82" s="40" t="s">
        <v>232</v>
      </c>
      <c r="D82" s="41" t="s">
        <v>248</v>
      </c>
      <c r="E82" s="41" t="s">
        <v>637</v>
      </c>
      <c r="F82" s="41" t="s">
        <v>638</v>
      </c>
      <c r="G82" s="41" t="s">
        <v>631</v>
      </c>
      <c r="H82" s="41" t="s">
        <v>626</v>
      </c>
      <c r="I82" s="41" t="s">
        <v>317</v>
      </c>
      <c r="J82" s="41" t="s">
        <v>639</v>
      </c>
      <c r="K82" s="41" t="s">
        <v>475</v>
      </c>
    </row>
    <row r="83" customFormat="false" ht="63.75" hidden="false" customHeight="true" outlineLevel="0" collapsed="false">
      <c r="A83" s="40" t="n">
        <v>78</v>
      </c>
      <c r="B83" s="40" t="s">
        <v>249</v>
      </c>
      <c r="C83" s="40" t="s">
        <v>250</v>
      </c>
      <c r="D83" s="41" t="s">
        <v>251</v>
      </c>
      <c r="E83" s="41" t="s">
        <v>621</v>
      </c>
      <c r="F83" s="41" t="s">
        <v>640</v>
      </c>
      <c r="G83" s="41" t="s">
        <v>641</v>
      </c>
      <c r="H83" s="41" t="s">
        <v>642</v>
      </c>
      <c r="I83" s="41" t="s">
        <v>317</v>
      </c>
      <c r="J83" s="41" t="s">
        <v>643</v>
      </c>
      <c r="K83" s="41" t="s">
        <v>475</v>
      </c>
    </row>
    <row r="84" customFormat="false" ht="42.75" hidden="false" customHeight="true" outlineLevel="0" collapsed="false">
      <c r="A84" s="40" t="n">
        <v>79</v>
      </c>
      <c r="B84" s="40" t="s">
        <v>249</v>
      </c>
      <c r="C84" s="40" t="s">
        <v>250</v>
      </c>
      <c r="D84" s="41" t="s">
        <v>255</v>
      </c>
      <c r="E84" s="41" t="s">
        <v>621</v>
      </c>
      <c r="F84" s="41" t="s">
        <v>644</v>
      </c>
      <c r="G84" s="41" t="s">
        <v>645</v>
      </c>
      <c r="H84" s="41" t="s">
        <v>642</v>
      </c>
      <c r="I84" s="41" t="s">
        <v>317</v>
      </c>
      <c r="J84" s="41" t="s">
        <v>646</v>
      </c>
      <c r="K84" s="41" t="s">
        <v>475</v>
      </c>
    </row>
    <row r="85" customFormat="false" ht="32.25" hidden="false" customHeight="true" outlineLevel="0" collapsed="false">
      <c r="A85" s="40" t="n">
        <v>80</v>
      </c>
      <c r="B85" s="40" t="s">
        <v>249</v>
      </c>
      <c r="C85" s="40" t="s">
        <v>250</v>
      </c>
      <c r="D85" s="41" t="s">
        <v>259</v>
      </c>
      <c r="E85" s="41" t="s">
        <v>621</v>
      </c>
      <c r="F85" s="41" t="s">
        <v>647</v>
      </c>
      <c r="G85" s="41" t="s">
        <v>648</v>
      </c>
      <c r="H85" s="41" t="s">
        <v>642</v>
      </c>
      <c r="I85" s="41" t="s">
        <v>317</v>
      </c>
      <c r="J85" s="41" t="s">
        <v>259</v>
      </c>
      <c r="K85" s="41" t="s">
        <v>475</v>
      </c>
    </row>
    <row r="86" customFormat="false" ht="42.75" hidden="false" customHeight="true" outlineLevel="0" collapsed="false">
      <c r="A86" s="40" t="n">
        <v>81</v>
      </c>
      <c r="B86" s="40" t="s">
        <v>249</v>
      </c>
      <c r="C86" s="40" t="s">
        <v>250</v>
      </c>
      <c r="D86" s="41" t="s">
        <v>260</v>
      </c>
      <c r="E86" s="41"/>
      <c r="F86" s="41" t="s">
        <v>649</v>
      </c>
      <c r="G86" s="41" t="s">
        <v>650</v>
      </c>
      <c r="H86" s="41" t="s">
        <v>642</v>
      </c>
      <c r="I86" s="41" t="s">
        <v>317</v>
      </c>
      <c r="J86" s="41" t="s">
        <v>651</v>
      </c>
      <c r="K86" s="41" t="s">
        <v>475</v>
      </c>
    </row>
    <row r="87" customFormat="false" ht="42.75" hidden="false" customHeight="true" outlineLevel="0" collapsed="false">
      <c r="A87" s="40" t="n">
        <v>82</v>
      </c>
      <c r="B87" s="40" t="s">
        <v>249</v>
      </c>
      <c r="C87" s="40" t="s">
        <v>250</v>
      </c>
      <c r="D87" s="41" t="s">
        <v>261</v>
      </c>
      <c r="E87" s="41"/>
      <c r="F87" s="41" t="s">
        <v>612</v>
      </c>
      <c r="G87" s="41" t="s">
        <v>650</v>
      </c>
      <c r="H87" s="41" t="s">
        <v>642</v>
      </c>
      <c r="I87" s="41" t="s">
        <v>317</v>
      </c>
      <c r="J87" s="41" t="s">
        <v>652</v>
      </c>
      <c r="K87" s="41" t="s">
        <v>475</v>
      </c>
    </row>
    <row r="88" customFormat="false" ht="42.75" hidden="false" customHeight="true" outlineLevel="0" collapsed="false">
      <c r="A88" s="40" t="n">
        <v>83</v>
      </c>
      <c r="B88" s="40" t="s">
        <v>249</v>
      </c>
      <c r="C88" s="40" t="s">
        <v>250</v>
      </c>
      <c r="D88" s="41" t="s">
        <v>262</v>
      </c>
      <c r="E88" s="41"/>
      <c r="F88" s="41" t="s">
        <v>649</v>
      </c>
      <c r="G88" s="41" t="s">
        <v>650</v>
      </c>
      <c r="H88" s="41" t="s">
        <v>642</v>
      </c>
      <c r="I88" s="41" t="s">
        <v>317</v>
      </c>
      <c r="J88" s="41" t="s">
        <v>653</v>
      </c>
      <c r="K88" s="41" t="s">
        <v>475</v>
      </c>
    </row>
    <row r="89" customFormat="false" ht="42.75" hidden="false" customHeight="true" outlineLevel="0" collapsed="false">
      <c r="A89" s="40" t="n">
        <v>84</v>
      </c>
      <c r="B89" s="40" t="s">
        <v>249</v>
      </c>
      <c r="C89" s="40" t="s">
        <v>250</v>
      </c>
      <c r="D89" s="41" t="s">
        <v>263</v>
      </c>
      <c r="E89" s="41" t="s">
        <v>611</v>
      </c>
      <c r="F89" s="41" t="s">
        <v>654</v>
      </c>
      <c r="G89" s="41" t="s">
        <v>655</v>
      </c>
      <c r="H89" s="41" t="s">
        <v>642</v>
      </c>
      <c r="I89" s="41" t="s">
        <v>317</v>
      </c>
      <c r="J89" s="41" t="s">
        <v>656</v>
      </c>
      <c r="K89" s="41" t="s">
        <v>475</v>
      </c>
    </row>
    <row r="90" customFormat="false" ht="42.75" hidden="false" customHeight="true" outlineLevel="0" collapsed="false">
      <c r="A90" s="40" t="n">
        <v>85</v>
      </c>
      <c r="B90" s="40" t="s">
        <v>249</v>
      </c>
      <c r="C90" s="40" t="s">
        <v>250</v>
      </c>
      <c r="D90" s="41" t="s">
        <v>264</v>
      </c>
      <c r="E90" s="41" t="s">
        <v>657</v>
      </c>
      <c r="F90" s="41" t="s">
        <v>658</v>
      </c>
      <c r="G90" s="41" t="s">
        <v>655</v>
      </c>
      <c r="H90" s="41" t="s">
        <v>642</v>
      </c>
      <c r="I90" s="41" t="s">
        <v>317</v>
      </c>
      <c r="J90" s="41" t="s">
        <v>659</v>
      </c>
      <c r="K90" s="41" t="s">
        <v>475</v>
      </c>
    </row>
    <row r="91" customFormat="false" ht="21.75" hidden="false" customHeight="true" outlineLevel="0" collapsed="false">
      <c r="A91" s="40" t="n">
        <v>86</v>
      </c>
      <c r="B91" s="40" t="s">
        <v>249</v>
      </c>
      <c r="C91" s="40" t="s">
        <v>250</v>
      </c>
      <c r="D91" s="41" t="s">
        <v>265</v>
      </c>
      <c r="E91" s="41" t="s">
        <v>562</v>
      </c>
      <c r="F91" s="41" t="s">
        <v>660</v>
      </c>
      <c r="G91" s="41" t="s">
        <v>661</v>
      </c>
      <c r="H91" s="41" t="s">
        <v>642</v>
      </c>
      <c r="I91" s="41" t="s">
        <v>317</v>
      </c>
      <c r="J91" s="41" t="s">
        <v>265</v>
      </c>
      <c r="K91" s="41" t="s">
        <v>475</v>
      </c>
    </row>
    <row r="92" customFormat="false" ht="32.25" hidden="false" customHeight="true" outlineLevel="0" collapsed="false">
      <c r="A92" s="40" t="n">
        <v>87</v>
      </c>
      <c r="B92" s="40" t="s">
        <v>249</v>
      </c>
      <c r="C92" s="40" t="s">
        <v>250</v>
      </c>
      <c r="D92" s="41" t="s">
        <v>266</v>
      </c>
      <c r="E92" s="41"/>
      <c r="F92" s="41" t="s">
        <v>662</v>
      </c>
      <c r="G92" s="41" t="s">
        <v>663</v>
      </c>
      <c r="H92" s="41" t="s">
        <v>642</v>
      </c>
      <c r="I92" s="41" t="s">
        <v>317</v>
      </c>
      <c r="J92" s="41" t="s">
        <v>266</v>
      </c>
      <c r="K92" s="41" t="s">
        <v>475</v>
      </c>
    </row>
    <row r="93" customFormat="false" ht="63.75" hidden="false" customHeight="true" outlineLevel="0" collapsed="false">
      <c r="A93" s="40" t="n">
        <v>88</v>
      </c>
      <c r="B93" s="40" t="s">
        <v>249</v>
      </c>
      <c r="C93" s="40" t="s">
        <v>250</v>
      </c>
      <c r="D93" s="41" t="s">
        <v>268</v>
      </c>
      <c r="E93" s="41" t="s">
        <v>664</v>
      </c>
      <c r="F93" s="41" t="s">
        <v>665</v>
      </c>
      <c r="G93" s="41" t="s">
        <v>666</v>
      </c>
      <c r="H93" s="41" t="s">
        <v>642</v>
      </c>
      <c r="I93" s="41" t="s">
        <v>317</v>
      </c>
      <c r="J93" s="41" t="s">
        <v>667</v>
      </c>
      <c r="K93" s="41" t="s">
        <v>475</v>
      </c>
    </row>
    <row r="94" customFormat="false" ht="32.25" hidden="false" customHeight="true" outlineLevel="0" collapsed="false">
      <c r="A94" s="40" t="n">
        <v>89</v>
      </c>
      <c r="B94" s="40" t="s">
        <v>249</v>
      </c>
      <c r="C94" s="40" t="s">
        <v>250</v>
      </c>
      <c r="D94" s="41" t="s">
        <v>269</v>
      </c>
      <c r="E94" s="41"/>
      <c r="F94" s="41" t="s">
        <v>644</v>
      </c>
      <c r="G94" s="41" t="s">
        <v>666</v>
      </c>
      <c r="H94" s="41" t="s">
        <v>642</v>
      </c>
      <c r="I94" s="41" t="s">
        <v>317</v>
      </c>
      <c r="J94" s="41" t="s">
        <v>269</v>
      </c>
      <c r="K94" s="41" t="s">
        <v>475</v>
      </c>
    </row>
    <row r="95" customFormat="false" ht="53.25" hidden="false" customHeight="true" outlineLevel="0" collapsed="false">
      <c r="A95" s="40" t="n">
        <v>90</v>
      </c>
      <c r="B95" s="40" t="s">
        <v>249</v>
      </c>
      <c r="C95" s="40" t="s">
        <v>270</v>
      </c>
      <c r="D95" s="41" t="s">
        <v>271</v>
      </c>
      <c r="E95" s="41" t="s">
        <v>668</v>
      </c>
      <c r="F95" s="41" t="s">
        <v>669</v>
      </c>
      <c r="G95" s="41" t="s">
        <v>670</v>
      </c>
      <c r="H95" s="41" t="s">
        <v>671</v>
      </c>
      <c r="I95" s="41" t="s">
        <v>317</v>
      </c>
      <c r="J95" s="41" t="s">
        <v>672</v>
      </c>
      <c r="K95" s="41" t="s">
        <v>475</v>
      </c>
    </row>
    <row r="96" customFormat="false" ht="53.25" hidden="false" customHeight="true" outlineLevel="0" collapsed="false">
      <c r="A96" s="40" t="n">
        <v>91</v>
      </c>
      <c r="B96" s="40" t="s">
        <v>249</v>
      </c>
      <c r="C96" s="40" t="s">
        <v>270</v>
      </c>
      <c r="D96" s="41" t="s">
        <v>276</v>
      </c>
      <c r="E96" s="41" t="s">
        <v>668</v>
      </c>
      <c r="F96" s="41" t="s">
        <v>669</v>
      </c>
      <c r="G96" s="41" t="s">
        <v>670</v>
      </c>
      <c r="H96" s="41" t="s">
        <v>671</v>
      </c>
      <c r="I96" s="41" t="s">
        <v>317</v>
      </c>
      <c r="J96" s="41" t="s">
        <v>672</v>
      </c>
      <c r="K96" s="41" t="s">
        <v>475</v>
      </c>
    </row>
    <row r="97" customFormat="false" ht="42.75" hidden="false" customHeight="true" outlineLevel="0" collapsed="false">
      <c r="A97" s="40" t="n">
        <v>92</v>
      </c>
      <c r="B97" s="40" t="s">
        <v>249</v>
      </c>
      <c r="C97" s="40" t="s">
        <v>270</v>
      </c>
      <c r="D97" s="41" t="s">
        <v>278</v>
      </c>
      <c r="E97" s="41" t="s">
        <v>673</v>
      </c>
      <c r="F97" s="41" t="s">
        <v>674</v>
      </c>
      <c r="G97" s="41" t="s">
        <v>675</v>
      </c>
      <c r="H97" s="41" t="s">
        <v>671</v>
      </c>
      <c r="I97" s="41" t="s">
        <v>317</v>
      </c>
      <c r="J97" s="41" t="s">
        <v>676</v>
      </c>
      <c r="K97" s="41" t="s">
        <v>475</v>
      </c>
    </row>
    <row r="98" customFormat="false" ht="42.75" hidden="false" customHeight="true" outlineLevel="0" collapsed="false">
      <c r="A98" s="40" t="n">
        <v>93</v>
      </c>
      <c r="B98" s="40" t="s">
        <v>249</v>
      </c>
      <c r="C98" s="40" t="s">
        <v>270</v>
      </c>
      <c r="D98" s="41" t="s">
        <v>279</v>
      </c>
      <c r="E98" s="41" t="s">
        <v>621</v>
      </c>
      <c r="F98" s="41" t="s">
        <v>677</v>
      </c>
      <c r="G98" s="41" t="s">
        <v>678</v>
      </c>
      <c r="H98" s="41" t="s">
        <v>671</v>
      </c>
      <c r="I98" s="41" t="s">
        <v>317</v>
      </c>
      <c r="J98" s="41" t="s">
        <v>679</v>
      </c>
      <c r="K98" s="41" t="s">
        <v>475</v>
      </c>
    </row>
    <row r="99" customFormat="false" ht="21.75" hidden="false" customHeight="true" outlineLevel="0" collapsed="false">
      <c r="A99" s="40" t="n">
        <v>94</v>
      </c>
      <c r="B99" s="40" t="s">
        <v>249</v>
      </c>
      <c r="C99" s="40" t="s">
        <v>270</v>
      </c>
      <c r="D99" s="41" t="s">
        <v>280</v>
      </c>
      <c r="E99" s="41"/>
      <c r="F99" s="41" t="s">
        <v>680</v>
      </c>
      <c r="G99" s="41" t="s">
        <v>681</v>
      </c>
      <c r="H99" s="41" t="s">
        <v>671</v>
      </c>
      <c r="I99" s="41" t="s">
        <v>488</v>
      </c>
      <c r="J99" s="41" t="s">
        <v>682</v>
      </c>
      <c r="K99" s="41" t="s">
        <v>475</v>
      </c>
    </row>
    <row r="100" customFormat="false" ht="42.75" hidden="false" customHeight="true" outlineLevel="0" collapsed="false">
      <c r="A100" s="40" t="n">
        <v>95</v>
      </c>
      <c r="B100" s="40" t="s">
        <v>281</v>
      </c>
      <c r="C100" s="40" t="s">
        <v>282</v>
      </c>
      <c r="D100" s="41" t="s">
        <v>283</v>
      </c>
      <c r="E100" s="41" t="s">
        <v>344</v>
      </c>
      <c r="F100" s="41" t="s">
        <v>208</v>
      </c>
      <c r="G100" s="41" t="s">
        <v>683</v>
      </c>
      <c r="H100" s="41" t="s">
        <v>684</v>
      </c>
      <c r="I100" s="41" t="s">
        <v>317</v>
      </c>
      <c r="J100" s="41" t="s">
        <v>283</v>
      </c>
      <c r="K100" s="41" t="s">
        <v>475</v>
      </c>
    </row>
    <row r="101" customFormat="false" ht="32.25" hidden="false" customHeight="true" outlineLevel="0" collapsed="false">
      <c r="A101" s="40" t="n">
        <v>96</v>
      </c>
      <c r="B101" s="40" t="s">
        <v>281</v>
      </c>
      <c r="C101" s="40" t="s">
        <v>282</v>
      </c>
      <c r="D101" s="41" t="s">
        <v>288</v>
      </c>
      <c r="E101" s="41"/>
      <c r="F101" s="41" t="s">
        <v>685</v>
      </c>
      <c r="G101" s="41" t="s">
        <v>686</v>
      </c>
      <c r="H101" s="41" t="s">
        <v>684</v>
      </c>
      <c r="I101" s="41" t="s">
        <v>317</v>
      </c>
      <c r="J101" s="41" t="s">
        <v>687</v>
      </c>
      <c r="K101" s="41" t="s">
        <v>475</v>
      </c>
    </row>
    <row r="102" customFormat="false" ht="32.25" hidden="false" customHeight="true" outlineLevel="0" collapsed="false">
      <c r="A102" s="40" t="n">
        <v>97</v>
      </c>
      <c r="B102" s="40" t="s">
        <v>281</v>
      </c>
      <c r="C102" s="40" t="s">
        <v>282</v>
      </c>
      <c r="D102" s="41" t="s">
        <v>292</v>
      </c>
      <c r="E102" s="41"/>
      <c r="F102" s="41" t="s">
        <v>688</v>
      </c>
      <c r="G102" s="41" t="s">
        <v>686</v>
      </c>
      <c r="H102" s="41" t="s">
        <v>684</v>
      </c>
      <c r="I102" s="41" t="s">
        <v>317</v>
      </c>
      <c r="J102" s="41" t="s">
        <v>689</v>
      </c>
      <c r="K102" s="41" t="s">
        <v>475</v>
      </c>
    </row>
    <row r="103" customFormat="false" ht="21.75" hidden="false" customHeight="true" outlineLevel="0" collapsed="false">
      <c r="A103" s="40" t="n">
        <v>98</v>
      </c>
      <c r="B103" s="40" t="s">
        <v>281</v>
      </c>
      <c r="C103" s="40" t="s">
        <v>282</v>
      </c>
      <c r="D103" s="41" t="s">
        <v>297</v>
      </c>
      <c r="E103" s="41" t="s">
        <v>690</v>
      </c>
      <c r="F103" s="41"/>
      <c r="G103" s="41" t="s">
        <v>691</v>
      </c>
      <c r="H103" s="41" t="s">
        <v>684</v>
      </c>
      <c r="I103" s="41" t="s">
        <v>317</v>
      </c>
      <c r="J103" s="41" t="s">
        <v>692</v>
      </c>
      <c r="K103" s="41" t="s">
        <v>475</v>
      </c>
    </row>
    <row r="104" customFormat="false" ht="21.75" hidden="false" customHeight="true" outlineLevel="0" collapsed="false">
      <c r="A104" s="40" t="n">
        <v>99</v>
      </c>
      <c r="B104" s="40" t="s">
        <v>281</v>
      </c>
      <c r="C104" s="40" t="s">
        <v>282</v>
      </c>
      <c r="D104" s="41" t="s">
        <v>298</v>
      </c>
      <c r="E104" s="41"/>
      <c r="F104" s="41" t="s">
        <v>693</v>
      </c>
      <c r="G104" s="41" t="s">
        <v>694</v>
      </c>
      <c r="H104" s="41" t="s">
        <v>684</v>
      </c>
      <c r="I104" s="41" t="s">
        <v>317</v>
      </c>
      <c r="J104" s="41" t="s">
        <v>298</v>
      </c>
      <c r="K104" s="41" t="s">
        <v>475</v>
      </c>
    </row>
    <row r="105" customFormat="false" ht="32.25" hidden="false" customHeight="true" outlineLevel="0" collapsed="false">
      <c r="A105" s="40" t="n">
        <v>100</v>
      </c>
      <c r="B105" s="40" t="s">
        <v>281</v>
      </c>
      <c r="C105" s="40" t="s">
        <v>282</v>
      </c>
      <c r="D105" s="41" t="s">
        <v>299</v>
      </c>
      <c r="E105" s="41"/>
      <c r="F105" s="41" t="s">
        <v>695</v>
      </c>
      <c r="G105" s="41" t="s">
        <v>686</v>
      </c>
      <c r="H105" s="41" t="s">
        <v>684</v>
      </c>
      <c r="I105" s="41" t="s">
        <v>317</v>
      </c>
      <c r="J105" s="41" t="s">
        <v>696</v>
      </c>
      <c r="K105" s="41" t="s">
        <v>475</v>
      </c>
    </row>
    <row r="106" customFormat="false" ht="21.75" hidden="false" customHeight="true" outlineLevel="0" collapsed="false">
      <c r="A106" s="40" t="n">
        <v>101</v>
      </c>
      <c r="B106" s="40" t="s">
        <v>281</v>
      </c>
      <c r="C106" s="40" t="s">
        <v>282</v>
      </c>
      <c r="D106" s="41" t="s">
        <v>300</v>
      </c>
      <c r="E106" s="41" t="s">
        <v>697</v>
      </c>
      <c r="F106" s="41" t="s">
        <v>698</v>
      </c>
      <c r="G106" s="41" t="s">
        <v>699</v>
      </c>
      <c r="H106" s="41" t="s">
        <v>684</v>
      </c>
      <c r="I106" s="41" t="s">
        <v>317</v>
      </c>
      <c r="J106" s="41" t="s">
        <v>300</v>
      </c>
      <c r="K106" s="41" t="s">
        <v>475</v>
      </c>
    </row>
    <row r="107" customFormat="false" ht="63.75" hidden="false" customHeight="true" outlineLevel="0" collapsed="false">
      <c r="A107" s="40" t="n">
        <v>102</v>
      </c>
      <c r="B107" s="40" t="s">
        <v>281</v>
      </c>
      <c r="C107" s="40" t="s">
        <v>282</v>
      </c>
      <c r="D107" s="41" t="s">
        <v>301</v>
      </c>
      <c r="E107" s="41"/>
      <c r="F107" s="41" t="s">
        <v>700</v>
      </c>
      <c r="G107" s="41" t="s">
        <v>701</v>
      </c>
      <c r="H107" s="41" t="s">
        <v>684</v>
      </c>
      <c r="I107" s="41" t="s">
        <v>317</v>
      </c>
      <c r="J107" s="41" t="s">
        <v>702</v>
      </c>
      <c r="K107" s="41" t="s">
        <v>475</v>
      </c>
    </row>
  </sheetData>
  <autoFilter ref="A5:K107"/>
  <mergeCells count="1">
    <mergeCell ref="A2: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
    <col collapsed="false" customWidth="true" hidden="false" outlineLevel="0" max="4" min="4" style="0" width="52"/>
    <col collapsed="false" customWidth="true" hidden="false" outlineLevel="0" max="5" min="5" style="0" width="9"/>
    <col collapsed="false" customWidth="true" hidden="false" outlineLevel="0" max="7" min="7" style="0" width="52"/>
    <col collapsed="false" customWidth="true" hidden="false" outlineLevel="0" max="8" min="8" style="0" width="9"/>
  </cols>
  <sheetData>
    <row r="1" customFormat="false" ht="16.15" hidden="false" customHeight="false" outlineLevel="0" collapsed="false">
      <c r="A1" s="42" t="s">
        <v>703</v>
      </c>
    </row>
    <row r="2" customFormat="false" ht="15" hidden="false" customHeight="false" outlineLevel="0" collapsed="false">
      <c r="A2" s="43" t="s">
        <v>704</v>
      </c>
    </row>
    <row r="4" customFormat="false" ht="15" hidden="false" customHeight="false" outlineLevel="0" collapsed="false">
      <c r="A4" s="44" t="s">
        <v>463</v>
      </c>
      <c r="B4" s="44" t="s">
        <v>705</v>
      </c>
      <c r="D4" s="44" t="s">
        <v>464</v>
      </c>
      <c r="E4" s="44" t="s">
        <v>705</v>
      </c>
      <c r="G4" s="45" t="s">
        <v>465</v>
      </c>
      <c r="H4" s="45" t="s">
        <v>705</v>
      </c>
    </row>
    <row r="5" customFormat="false" ht="15" hidden="false" customHeight="false" outlineLevel="0" collapsed="false">
      <c r="A5" s="46" t="s">
        <v>344</v>
      </c>
      <c r="B5" s="46" t="n">
        <v>27</v>
      </c>
      <c r="D5" s="46" t="s">
        <v>159</v>
      </c>
      <c r="E5" s="46" t="n">
        <v>15</v>
      </c>
      <c r="G5" s="46" t="s">
        <v>706</v>
      </c>
      <c r="H5" s="46" t="n">
        <v>21</v>
      </c>
    </row>
    <row r="6" customFormat="false" ht="15" hidden="false" customHeight="false" outlineLevel="0" collapsed="false">
      <c r="A6" s="46" t="s">
        <v>575</v>
      </c>
      <c r="B6" s="46" t="n">
        <v>22</v>
      </c>
      <c r="D6" s="46" t="s">
        <v>707</v>
      </c>
      <c r="E6" s="46" t="n">
        <v>11</v>
      </c>
      <c r="G6" s="46" t="s">
        <v>661</v>
      </c>
      <c r="H6" s="46" t="n">
        <v>12</v>
      </c>
    </row>
    <row r="7" customFormat="false" ht="15" hidden="false" customHeight="false" outlineLevel="0" collapsed="false">
      <c r="A7" s="46" t="s">
        <v>557</v>
      </c>
      <c r="B7" s="46" t="n">
        <v>22</v>
      </c>
      <c r="D7" s="46" t="s">
        <v>708</v>
      </c>
      <c r="E7" s="46" t="n">
        <v>10</v>
      </c>
      <c r="G7" s="46" t="s">
        <v>709</v>
      </c>
      <c r="H7" s="46" t="n">
        <v>10</v>
      </c>
    </row>
    <row r="8" customFormat="false" ht="15" hidden="false" customHeight="false" outlineLevel="0" collapsed="false">
      <c r="A8" s="46" t="s">
        <v>470</v>
      </c>
      <c r="B8" s="46" t="n">
        <v>19</v>
      </c>
      <c r="D8" s="46" t="s">
        <v>157</v>
      </c>
      <c r="E8" s="46" t="n">
        <v>10</v>
      </c>
      <c r="G8" s="46" t="s">
        <v>479</v>
      </c>
      <c r="H8" s="46" t="n">
        <v>9</v>
      </c>
    </row>
    <row r="9" customFormat="false" ht="15" hidden="false" customHeight="false" outlineLevel="0" collapsed="false">
      <c r="A9" s="46" t="s">
        <v>331</v>
      </c>
      <c r="B9" s="46" t="n">
        <v>15</v>
      </c>
      <c r="D9" s="46" t="s">
        <v>525</v>
      </c>
      <c r="E9" s="46" t="n">
        <v>9</v>
      </c>
      <c r="G9" s="46" t="s">
        <v>504</v>
      </c>
      <c r="H9" s="46" t="n">
        <v>6</v>
      </c>
    </row>
    <row r="10" customFormat="false" ht="15" hidden="false" customHeight="false" outlineLevel="0" collapsed="false">
      <c r="A10" s="46" t="s">
        <v>710</v>
      </c>
      <c r="B10" s="46" t="n">
        <v>13</v>
      </c>
      <c r="D10" s="46" t="s">
        <v>711</v>
      </c>
      <c r="E10" s="46" t="n">
        <v>9</v>
      </c>
      <c r="G10" s="46" t="s">
        <v>712</v>
      </c>
      <c r="H10" s="46" t="n">
        <v>6</v>
      </c>
    </row>
    <row r="11" customFormat="false" ht="15" hidden="false" customHeight="false" outlineLevel="0" collapsed="false">
      <c r="A11" s="46" t="s">
        <v>713</v>
      </c>
      <c r="B11" s="46" t="n">
        <v>11</v>
      </c>
      <c r="D11" s="46" t="s">
        <v>156</v>
      </c>
      <c r="E11" s="46" t="n">
        <v>9</v>
      </c>
      <c r="G11" s="46" t="s">
        <v>549</v>
      </c>
      <c r="H11" s="46" t="n">
        <v>5</v>
      </c>
    </row>
    <row r="12" customFormat="false" ht="15" hidden="false" customHeight="false" outlineLevel="0" collapsed="false">
      <c r="A12" s="46" t="s">
        <v>714</v>
      </c>
      <c r="B12" s="46" t="n">
        <v>10</v>
      </c>
      <c r="D12" s="46" t="s">
        <v>715</v>
      </c>
      <c r="E12" s="46" t="n">
        <v>8</v>
      </c>
      <c r="G12" s="46" t="s">
        <v>694</v>
      </c>
      <c r="H12" s="46" t="n">
        <v>5</v>
      </c>
    </row>
    <row r="13" customFormat="false" ht="15" hidden="false" customHeight="false" outlineLevel="0" collapsed="false">
      <c r="A13" s="46" t="s">
        <v>587</v>
      </c>
      <c r="B13" s="46" t="n">
        <v>8</v>
      </c>
      <c r="D13" s="46" t="s">
        <v>716</v>
      </c>
      <c r="E13" s="46" t="n">
        <v>8</v>
      </c>
      <c r="G13" s="46" t="s">
        <v>717</v>
      </c>
      <c r="H13" s="46" t="n">
        <v>4</v>
      </c>
    </row>
    <row r="14" customFormat="false" ht="15" hidden="false" customHeight="false" outlineLevel="0" collapsed="false">
      <c r="A14" s="46" t="s">
        <v>718</v>
      </c>
      <c r="B14" s="46" t="n">
        <v>7</v>
      </c>
      <c r="D14" s="46" t="s">
        <v>499</v>
      </c>
      <c r="E14" s="46" t="n">
        <v>7</v>
      </c>
      <c r="G14" s="46" t="s">
        <v>719</v>
      </c>
      <c r="H14" s="46" t="n">
        <v>4</v>
      </c>
    </row>
    <row r="15" customFormat="false" ht="15" hidden="false" customHeight="false" outlineLevel="0" collapsed="false">
      <c r="A15" s="46" t="s">
        <v>720</v>
      </c>
      <c r="B15" s="46" t="n">
        <v>7</v>
      </c>
      <c r="D15" s="46" t="s">
        <v>179</v>
      </c>
      <c r="E15" s="46" t="n">
        <v>7</v>
      </c>
      <c r="G15" s="46" t="s">
        <v>721</v>
      </c>
      <c r="H15" s="46" t="n">
        <v>4</v>
      </c>
    </row>
    <row r="16" customFormat="false" ht="15" hidden="false" customHeight="false" outlineLevel="0" collapsed="false">
      <c r="A16" s="46" t="s">
        <v>621</v>
      </c>
      <c r="B16" s="46" t="n">
        <v>5</v>
      </c>
      <c r="D16" s="46" t="s">
        <v>722</v>
      </c>
      <c r="E16" s="46" t="n">
        <v>6</v>
      </c>
      <c r="G16" s="46" t="s">
        <v>723</v>
      </c>
      <c r="H16" s="46" t="n">
        <v>4</v>
      </c>
    </row>
    <row r="17" customFormat="false" ht="15" hidden="false" customHeight="false" outlineLevel="0" collapsed="false">
      <c r="A17" s="46" t="s">
        <v>724</v>
      </c>
      <c r="B17" s="46" t="n">
        <v>4</v>
      </c>
      <c r="D17" s="46" t="s">
        <v>576</v>
      </c>
      <c r="E17" s="46" t="n">
        <v>5</v>
      </c>
      <c r="G17" s="46" t="s">
        <v>725</v>
      </c>
      <c r="H17" s="46" t="n">
        <v>4</v>
      </c>
    </row>
    <row r="18" customFormat="false" ht="15" hidden="false" customHeight="false" outlineLevel="0" collapsed="false">
      <c r="A18" s="46" t="s">
        <v>726</v>
      </c>
      <c r="B18" s="46" t="n">
        <v>4</v>
      </c>
      <c r="D18" s="46" t="s">
        <v>727</v>
      </c>
      <c r="E18" s="46" t="n">
        <v>5</v>
      </c>
      <c r="G18" s="46" t="s">
        <v>728</v>
      </c>
      <c r="H18" s="46" t="n">
        <v>3</v>
      </c>
    </row>
    <row r="19" customFormat="false" ht="15" hidden="false" customHeight="false" outlineLevel="0" collapsed="false">
      <c r="A19" s="46" t="s">
        <v>729</v>
      </c>
      <c r="B19" s="46" t="n">
        <v>4</v>
      </c>
      <c r="D19" s="46" t="s">
        <v>660</v>
      </c>
      <c r="E19" s="46" t="n">
        <v>5</v>
      </c>
      <c r="G19" s="46" t="s">
        <v>730</v>
      </c>
      <c r="H19" s="46" t="n">
        <v>3</v>
      </c>
    </row>
    <row r="20" customFormat="false" ht="15" hidden="false" customHeight="false" outlineLevel="0" collapsed="false">
      <c r="A20" s="46" t="s">
        <v>535</v>
      </c>
      <c r="B20" s="46" t="n">
        <v>3</v>
      </c>
      <c r="D20" s="46" t="s">
        <v>731</v>
      </c>
      <c r="E20" s="46" t="n">
        <v>4</v>
      </c>
      <c r="G20" s="46" t="s">
        <v>732</v>
      </c>
      <c r="H20" s="46" t="n">
        <v>3</v>
      </c>
    </row>
    <row r="21" customFormat="false" ht="15" hidden="false" customHeight="false" outlineLevel="0" collapsed="false">
      <c r="A21" s="46" t="s">
        <v>733</v>
      </c>
      <c r="B21" s="46" t="n">
        <v>3</v>
      </c>
      <c r="D21" s="46" t="s">
        <v>734</v>
      </c>
      <c r="E21" s="46" t="n">
        <v>4</v>
      </c>
      <c r="G21" s="46" t="s">
        <v>735</v>
      </c>
      <c r="H21" s="46" t="n">
        <v>3</v>
      </c>
    </row>
    <row r="22" customFormat="false" ht="15" hidden="false" customHeight="false" outlineLevel="0" collapsed="false">
      <c r="A22" s="46" t="s">
        <v>736</v>
      </c>
      <c r="B22" s="46" t="n">
        <v>2</v>
      </c>
      <c r="D22" s="46" t="s">
        <v>737</v>
      </c>
      <c r="E22" s="46" t="n">
        <v>4</v>
      </c>
      <c r="G22" s="46" t="s">
        <v>738</v>
      </c>
      <c r="H22" s="46" t="n">
        <v>3</v>
      </c>
    </row>
    <row r="23" customFormat="false" ht="15" hidden="false" customHeight="false" outlineLevel="0" collapsed="false">
      <c r="A23" s="46" t="s">
        <v>739</v>
      </c>
      <c r="B23" s="46" t="n">
        <v>2</v>
      </c>
      <c r="D23" s="46" t="s">
        <v>176</v>
      </c>
      <c r="E23" s="46" t="n">
        <v>4</v>
      </c>
      <c r="G23" s="46" t="s">
        <v>740</v>
      </c>
      <c r="H23" s="46" t="n">
        <v>3</v>
      </c>
    </row>
    <row r="24" customFormat="false" ht="15" hidden="false" customHeight="false" outlineLevel="0" collapsed="false">
      <c r="A24" s="46" t="s">
        <v>741</v>
      </c>
      <c r="B24" s="46" t="n">
        <v>2</v>
      </c>
      <c r="D24" s="46" t="s">
        <v>742</v>
      </c>
      <c r="E24" s="46" t="n">
        <v>3</v>
      </c>
      <c r="G24" s="46" t="s">
        <v>743</v>
      </c>
      <c r="H24" s="46" t="n">
        <v>3</v>
      </c>
    </row>
    <row r="25" customFormat="false" ht="15" hidden="false" customHeight="false" outlineLevel="0" collapsed="false">
      <c r="A25" s="46" t="s">
        <v>744</v>
      </c>
      <c r="B25" s="46" t="n">
        <v>2</v>
      </c>
      <c r="D25" s="46" t="s">
        <v>745</v>
      </c>
      <c r="E25" s="46" t="n">
        <v>3</v>
      </c>
      <c r="G25" s="46" t="s">
        <v>746</v>
      </c>
      <c r="H25" s="46" t="n">
        <v>3</v>
      </c>
    </row>
    <row r="26" customFormat="false" ht="15" hidden="false" customHeight="false" outlineLevel="0" collapsed="false">
      <c r="A26" s="46" t="s">
        <v>747</v>
      </c>
      <c r="B26" s="46" t="n">
        <v>2</v>
      </c>
      <c r="D26" s="46" t="s">
        <v>748</v>
      </c>
      <c r="E26" s="46" t="n">
        <v>3</v>
      </c>
      <c r="G26" s="46" t="s">
        <v>749</v>
      </c>
      <c r="H26" s="46" t="n">
        <v>3</v>
      </c>
    </row>
    <row r="27" customFormat="false" ht="15" hidden="false" customHeight="false" outlineLevel="0" collapsed="false">
      <c r="A27" s="46" t="s">
        <v>750</v>
      </c>
      <c r="B27" s="46" t="n">
        <v>1</v>
      </c>
      <c r="D27" s="46" t="s">
        <v>751</v>
      </c>
      <c r="E27" s="46" t="n">
        <v>3</v>
      </c>
      <c r="G27" s="46" t="s">
        <v>752</v>
      </c>
      <c r="H27" s="46" t="n">
        <v>3</v>
      </c>
    </row>
    <row r="28" customFormat="false" ht="15" hidden="false" customHeight="false" outlineLevel="0" collapsed="false">
      <c r="A28" s="46" t="s">
        <v>753</v>
      </c>
      <c r="B28" s="46" t="n">
        <v>1</v>
      </c>
      <c r="D28" s="46" t="s">
        <v>754</v>
      </c>
      <c r="E28" s="46" t="n">
        <v>3</v>
      </c>
      <c r="G28" s="46" t="s">
        <v>755</v>
      </c>
      <c r="H28" s="46" t="n">
        <v>3</v>
      </c>
    </row>
    <row r="29" customFormat="false" ht="15" hidden="false" customHeight="false" outlineLevel="0" collapsed="false">
      <c r="A29" s="46" t="s">
        <v>690</v>
      </c>
      <c r="B29" s="46" t="n">
        <v>1</v>
      </c>
      <c r="D29" s="46" t="s">
        <v>756</v>
      </c>
      <c r="E29" s="46" t="n">
        <v>3</v>
      </c>
      <c r="G29" s="46" t="s">
        <v>757</v>
      </c>
      <c r="H29" s="46"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44"/>
    <col collapsed="false" customWidth="true" hidden="false" outlineLevel="0" max="3" min="3" style="1" width="16"/>
    <col collapsed="false" customWidth="true" hidden="false" outlineLevel="0" max="4" min="4" style="1" width="60"/>
    <col collapsed="false" customWidth="true" hidden="false" outlineLevel="0" max="6" min="5" style="1" width="26"/>
    <col collapsed="false" customWidth="true" hidden="false" outlineLevel="0" max="7" min="7" style="1" width="16"/>
  </cols>
  <sheetData>
    <row r="1" customFormat="false" ht="15.75" hidden="false" customHeight="true" outlineLevel="0" collapsed="false">
      <c r="A1" s="23" t="s">
        <v>758</v>
      </c>
    </row>
    <row r="2" customFormat="false" ht="25.5" hidden="false" customHeight="true" outlineLevel="0" collapsed="false">
      <c r="A2" s="39" t="s">
        <v>759</v>
      </c>
      <c r="B2" s="39"/>
      <c r="C2" s="39"/>
      <c r="D2" s="39"/>
      <c r="E2" s="39"/>
      <c r="F2" s="39"/>
      <c r="G2" s="39"/>
    </row>
    <row r="3" customFormat="false" ht="25.5" hidden="false" customHeight="true" outlineLevel="0" collapsed="false">
      <c r="A3" s="39"/>
      <c r="B3" s="39"/>
      <c r="C3" s="39"/>
      <c r="D3" s="39"/>
      <c r="E3" s="39"/>
      <c r="F3" s="39"/>
      <c r="G3" s="39"/>
    </row>
    <row r="5" customFormat="false" ht="15" hidden="false" customHeight="true" outlineLevel="0" collapsed="false">
      <c r="A5" s="47" t="s">
        <v>760</v>
      </c>
    </row>
    <row r="6" customFormat="false" ht="15" hidden="false" customHeight="true" outlineLevel="0" collapsed="false">
      <c r="A6" s="48" t="s">
        <v>761</v>
      </c>
      <c r="B6" s="49" t="s">
        <v>762</v>
      </c>
      <c r="C6" s="49"/>
      <c r="D6" s="49"/>
    </row>
    <row r="7" customFormat="false" ht="15" hidden="false" customHeight="true" outlineLevel="0" collapsed="false">
      <c r="A7" s="48" t="s">
        <v>763</v>
      </c>
      <c r="B7" s="49" t="s">
        <v>764</v>
      </c>
      <c r="C7" s="49"/>
      <c r="D7" s="49"/>
    </row>
    <row r="8" customFormat="false" ht="15" hidden="false" customHeight="true" outlineLevel="0" collapsed="false">
      <c r="A8" s="48" t="s">
        <v>765</v>
      </c>
      <c r="B8" s="49" t="s">
        <v>766</v>
      </c>
      <c r="C8" s="49"/>
      <c r="D8" s="49"/>
    </row>
    <row r="9" customFormat="false" ht="15" hidden="false" customHeight="true" outlineLevel="0" collapsed="false">
      <c r="A9" s="48" t="s">
        <v>767</v>
      </c>
      <c r="B9" s="49" t="s">
        <v>768</v>
      </c>
      <c r="C9" s="49"/>
      <c r="D9" s="49"/>
    </row>
    <row r="10" customFormat="false" ht="15" hidden="false" customHeight="true" outlineLevel="0" collapsed="false">
      <c r="A10" s="48" t="s">
        <v>769</v>
      </c>
      <c r="B10" s="49" t="s">
        <v>175</v>
      </c>
      <c r="C10" s="49"/>
      <c r="D10" s="49"/>
    </row>
    <row r="11" customFormat="false" ht="15" hidden="false" customHeight="true" outlineLevel="0" collapsed="false">
      <c r="A11" s="48" t="s">
        <v>770</v>
      </c>
      <c r="B11" s="49" t="s">
        <v>270</v>
      </c>
      <c r="C11" s="49"/>
      <c r="D11" s="49"/>
    </row>
    <row r="12" customFormat="false" ht="15" hidden="false" customHeight="true" outlineLevel="0" collapsed="false">
      <c r="A12" s="48" t="s">
        <v>771</v>
      </c>
      <c r="B12" s="49" t="s">
        <v>150</v>
      </c>
      <c r="C12" s="49"/>
      <c r="D12" s="49"/>
    </row>
    <row r="13" customFormat="false" ht="15" hidden="false" customHeight="true" outlineLevel="0" collapsed="false">
      <c r="A13" s="48" t="s">
        <v>772</v>
      </c>
      <c r="B13" s="49" t="s">
        <v>270</v>
      </c>
      <c r="C13" s="49"/>
      <c r="D13" s="49"/>
    </row>
    <row r="15" customFormat="false" ht="15" hidden="false" customHeight="true" outlineLevel="0" collapsed="false">
      <c r="A15" s="47" t="s">
        <v>773</v>
      </c>
    </row>
    <row r="16" customFormat="false" ht="27.75" hidden="false" customHeight="true" outlineLevel="0" collapsed="false">
      <c r="A16" s="50" t="s">
        <v>774</v>
      </c>
      <c r="B16" s="50"/>
      <c r="C16" s="50"/>
      <c r="D16" s="50"/>
      <c r="E16" s="50"/>
      <c r="F16" s="50"/>
      <c r="G16" s="50"/>
    </row>
    <row r="17" customFormat="false" ht="39.75" hidden="false" customHeight="true" outlineLevel="0" collapsed="false">
      <c r="A17" s="51" t="s">
        <v>775</v>
      </c>
      <c r="B17" s="52" t="s">
        <v>48</v>
      </c>
      <c r="C17" s="52" t="s">
        <v>79</v>
      </c>
      <c r="D17" s="52" t="s">
        <v>165</v>
      </c>
      <c r="E17" s="52" t="s">
        <v>215</v>
      </c>
      <c r="F17" s="52" t="s">
        <v>267</v>
      </c>
      <c r="G17" s="53" t="s">
        <v>776</v>
      </c>
    </row>
    <row r="18" customFormat="false" ht="15" hidden="false" customHeight="true" outlineLevel="0" collapsed="false">
      <c r="A18" s="29" t="s">
        <v>48</v>
      </c>
      <c r="B18" s="54" t="n">
        <v>24</v>
      </c>
      <c r="C18" s="55" t="n">
        <v>50</v>
      </c>
      <c r="D18" s="56" t="n">
        <v>13</v>
      </c>
      <c r="E18" s="57" t="n">
        <v>9</v>
      </c>
      <c r="F18" s="58" t="n">
        <v>8</v>
      </c>
      <c r="G18" s="59" t="n">
        <v>80</v>
      </c>
    </row>
    <row r="19" customFormat="false" ht="15" hidden="false" customHeight="true" outlineLevel="0" collapsed="false">
      <c r="A19" s="29" t="s">
        <v>79</v>
      </c>
      <c r="B19" s="60" t="n">
        <v>6</v>
      </c>
      <c r="C19" s="61" t="n">
        <v>44</v>
      </c>
      <c r="D19" s="56" t="n">
        <v>13</v>
      </c>
      <c r="E19" s="58" t="n">
        <v>8</v>
      </c>
      <c r="F19" s="58" t="n">
        <v>8</v>
      </c>
      <c r="G19" s="59" t="n">
        <v>35</v>
      </c>
    </row>
    <row r="20" customFormat="false" ht="15" hidden="false" customHeight="true" outlineLevel="0" collapsed="false">
      <c r="A20" s="29" t="s">
        <v>165</v>
      </c>
      <c r="B20" s="62" t="n">
        <v>3</v>
      </c>
      <c r="C20" s="62" t="n">
        <v>3</v>
      </c>
      <c r="D20" s="63" t="n">
        <v>26</v>
      </c>
      <c r="E20" s="56" t="n">
        <v>13</v>
      </c>
      <c r="F20" s="64" t="n">
        <v>11</v>
      </c>
      <c r="G20" s="59" t="n">
        <v>30</v>
      </c>
    </row>
    <row r="21" customFormat="false" ht="15" hidden="false" customHeight="true" outlineLevel="0" collapsed="false">
      <c r="A21" s="29" t="s">
        <v>215</v>
      </c>
      <c r="B21" s="65" t="n">
        <v>0</v>
      </c>
      <c r="C21" s="65" t="n">
        <v>0</v>
      </c>
      <c r="D21" s="65" t="n">
        <v>0</v>
      </c>
      <c r="E21" s="66" t="n">
        <v>5</v>
      </c>
      <c r="F21" s="65" t="n">
        <v>0</v>
      </c>
      <c r="G21" s="59" t="n">
        <v>0</v>
      </c>
    </row>
    <row r="22" customFormat="false" ht="15" hidden="false" customHeight="true" outlineLevel="0" collapsed="false">
      <c r="A22" s="29" t="s">
        <v>267</v>
      </c>
      <c r="B22" s="65" t="n">
        <v>0</v>
      </c>
      <c r="C22" s="67" t="n">
        <v>4</v>
      </c>
      <c r="D22" s="68" t="n">
        <v>1</v>
      </c>
      <c r="E22" s="69" t="n">
        <v>7</v>
      </c>
      <c r="F22" s="70" t="n">
        <v>6</v>
      </c>
      <c r="G22" s="59" t="n">
        <v>12</v>
      </c>
    </row>
    <row r="24" customFormat="false" ht="15" hidden="false" customHeight="true" outlineLevel="0" collapsed="false">
      <c r="A24" s="47" t="s">
        <v>777</v>
      </c>
    </row>
    <row r="25" customFormat="false" ht="15" hidden="false" customHeight="true" outlineLevel="0" collapsed="false">
      <c r="A25" s="38" t="s">
        <v>778</v>
      </c>
      <c r="B25" s="38" t="s">
        <v>779</v>
      </c>
      <c r="C25" s="38" t="s">
        <v>780</v>
      </c>
      <c r="D25" s="38" t="s">
        <v>781</v>
      </c>
    </row>
    <row r="26" customFormat="false" ht="15" hidden="false" customHeight="true" outlineLevel="0" collapsed="false">
      <c r="A26" s="12" t="s">
        <v>179</v>
      </c>
      <c r="B26" s="12" t="s">
        <v>782</v>
      </c>
      <c r="C26" s="13" t="s">
        <v>317</v>
      </c>
      <c r="D26" s="12" t="s">
        <v>783</v>
      </c>
    </row>
    <row r="27" customFormat="false" ht="15" hidden="false" customHeight="true" outlineLevel="0" collapsed="false">
      <c r="A27" s="12" t="s">
        <v>186</v>
      </c>
      <c r="B27" s="12" t="s">
        <v>292</v>
      </c>
      <c r="C27" s="13" t="s">
        <v>317</v>
      </c>
      <c r="D27" s="12" t="s">
        <v>784</v>
      </c>
    </row>
    <row r="28" customFormat="false" ht="21.75" hidden="false" customHeight="true" outlineLevel="0" collapsed="false">
      <c r="A28" s="12" t="s">
        <v>208</v>
      </c>
      <c r="B28" s="12" t="s">
        <v>283</v>
      </c>
      <c r="C28" s="13" t="s">
        <v>317</v>
      </c>
      <c r="D28" s="12" t="s">
        <v>785</v>
      </c>
    </row>
    <row r="29" customFormat="false" ht="21.75" hidden="false" customHeight="true" outlineLevel="0" collapsed="false">
      <c r="A29" s="12" t="s">
        <v>43</v>
      </c>
      <c r="B29" s="12" t="s">
        <v>288</v>
      </c>
      <c r="C29" s="13" t="s">
        <v>317</v>
      </c>
      <c r="D29" s="12" t="s">
        <v>786</v>
      </c>
    </row>
    <row r="30" customFormat="false" ht="21.75" hidden="false" customHeight="true" outlineLevel="0" collapsed="false">
      <c r="A30" s="12" t="s">
        <v>179</v>
      </c>
      <c r="B30" s="12" t="s">
        <v>300</v>
      </c>
      <c r="C30" s="13" t="s">
        <v>317</v>
      </c>
      <c r="D30" s="12" t="s">
        <v>787</v>
      </c>
    </row>
    <row r="31" customFormat="false" ht="21.75" hidden="false" customHeight="true" outlineLevel="0" collapsed="false">
      <c r="A31" s="12" t="s">
        <v>184</v>
      </c>
      <c r="B31" s="12" t="s">
        <v>300</v>
      </c>
      <c r="C31" s="13" t="s">
        <v>317</v>
      </c>
      <c r="D31" s="12" t="s">
        <v>787</v>
      </c>
    </row>
    <row r="32" customFormat="false" ht="21.75" hidden="false" customHeight="true" outlineLevel="0" collapsed="false">
      <c r="A32" s="12" t="s">
        <v>176</v>
      </c>
      <c r="B32" s="12" t="s">
        <v>261</v>
      </c>
      <c r="C32" s="13" t="s">
        <v>317</v>
      </c>
      <c r="D32" s="12" t="s">
        <v>788</v>
      </c>
    </row>
    <row r="33" customFormat="false" ht="21.75" hidden="false" customHeight="true" outlineLevel="0" collapsed="false">
      <c r="A33" s="12" t="s">
        <v>179</v>
      </c>
      <c r="B33" s="12" t="s">
        <v>240</v>
      </c>
      <c r="C33" s="13" t="s">
        <v>317</v>
      </c>
      <c r="D33" s="12" t="s">
        <v>789</v>
      </c>
    </row>
    <row r="34" customFormat="false" ht="15" hidden="false" customHeight="true" outlineLevel="0" collapsed="false">
      <c r="A34" s="12" t="s">
        <v>790</v>
      </c>
      <c r="B34" s="12" t="s">
        <v>192</v>
      </c>
      <c r="C34" s="13" t="s">
        <v>791</v>
      </c>
      <c r="D34" s="12" t="s">
        <v>792</v>
      </c>
    </row>
    <row r="35" customFormat="false" ht="21.75" hidden="false" customHeight="true" outlineLevel="0" collapsed="false">
      <c r="A35" s="12" t="s">
        <v>793</v>
      </c>
      <c r="B35" s="12" t="s">
        <v>118</v>
      </c>
      <c r="C35" s="13" t="s">
        <v>791</v>
      </c>
      <c r="D35" s="12" t="s">
        <v>794</v>
      </c>
    </row>
    <row r="36" customFormat="false" ht="15" hidden="false" customHeight="true" outlineLevel="0" collapsed="false">
      <c r="A36" s="12" t="s">
        <v>793</v>
      </c>
      <c r="B36" s="12" t="s">
        <v>119</v>
      </c>
      <c r="C36" s="13" t="s">
        <v>791</v>
      </c>
      <c r="D36" s="12" t="s">
        <v>787</v>
      </c>
    </row>
    <row r="37" customFormat="false" ht="15" hidden="false" customHeight="true" outlineLevel="0" collapsed="false">
      <c r="A37" s="12" t="s">
        <v>793</v>
      </c>
      <c r="B37" s="12" t="s">
        <v>133</v>
      </c>
      <c r="C37" s="13" t="s">
        <v>791</v>
      </c>
      <c r="D37" s="12" t="s">
        <v>795</v>
      </c>
    </row>
    <row r="38" customFormat="false" ht="15" hidden="false" customHeight="true" outlineLevel="0" collapsed="false">
      <c r="A38" s="12" t="s">
        <v>796</v>
      </c>
      <c r="B38" s="12" t="s">
        <v>239</v>
      </c>
      <c r="C38" s="13" t="s">
        <v>791</v>
      </c>
      <c r="D38" s="12" t="s">
        <v>787</v>
      </c>
    </row>
    <row r="39" customFormat="false" ht="21.75" hidden="false" customHeight="true" outlineLevel="0" collapsed="false">
      <c r="A39" s="12" t="s">
        <v>796</v>
      </c>
      <c r="B39" s="12" t="s">
        <v>278</v>
      </c>
      <c r="C39" s="13" t="s">
        <v>791</v>
      </c>
      <c r="D39" s="12" t="s">
        <v>787</v>
      </c>
    </row>
    <row r="40" customFormat="false" ht="15" hidden="false" customHeight="true" outlineLevel="0" collapsed="false">
      <c r="A40" s="12" t="s">
        <v>796</v>
      </c>
      <c r="B40" s="12" t="s">
        <v>71</v>
      </c>
      <c r="C40" s="13" t="s">
        <v>791</v>
      </c>
      <c r="D40" s="12" t="s">
        <v>787</v>
      </c>
    </row>
    <row r="41" customFormat="false" ht="15" hidden="false" customHeight="true" outlineLevel="0" collapsed="false">
      <c r="A41" s="12" t="s">
        <v>797</v>
      </c>
      <c r="B41" s="12" t="s">
        <v>798</v>
      </c>
      <c r="C41" s="13" t="s">
        <v>6</v>
      </c>
      <c r="D41" s="12" t="s">
        <v>799</v>
      </c>
    </row>
    <row r="42" customFormat="false" ht="15" hidden="false" customHeight="true" outlineLevel="0" collapsed="false">
      <c r="A42" s="12" t="s">
        <v>800</v>
      </c>
      <c r="B42" s="12" t="s">
        <v>798</v>
      </c>
      <c r="C42" s="13" t="s">
        <v>6</v>
      </c>
      <c r="D42" s="12" t="s">
        <v>801</v>
      </c>
    </row>
    <row r="43" customFormat="false" ht="15" hidden="false" customHeight="true" outlineLevel="0" collapsed="false">
      <c r="A43" s="12" t="s">
        <v>796</v>
      </c>
      <c r="B43" s="12" t="s">
        <v>802</v>
      </c>
      <c r="C43" s="13" t="s">
        <v>6</v>
      </c>
      <c r="D43" s="12" t="s">
        <v>803</v>
      </c>
    </row>
    <row r="44" customFormat="false" ht="15" hidden="false" customHeight="true" outlineLevel="0" collapsed="false">
      <c r="A44" s="12" t="s">
        <v>804</v>
      </c>
      <c r="B44" s="12" t="s">
        <v>802</v>
      </c>
      <c r="C44" s="13" t="s">
        <v>6</v>
      </c>
      <c r="D44" s="12" t="s">
        <v>787</v>
      </c>
    </row>
    <row r="45" customFormat="false" ht="15" hidden="false" customHeight="true" outlineLevel="0" collapsed="false">
      <c r="A45" s="12" t="s">
        <v>797</v>
      </c>
      <c r="B45" s="12" t="s">
        <v>802</v>
      </c>
      <c r="C45" s="13" t="s">
        <v>6</v>
      </c>
      <c r="D45" s="12" t="s">
        <v>787</v>
      </c>
    </row>
    <row r="47" customFormat="false" ht="15" hidden="false" customHeight="true" outlineLevel="0" collapsed="false">
      <c r="A47" s="71" t="s">
        <v>805</v>
      </c>
      <c r="B47" s="71"/>
      <c r="C47" s="71"/>
      <c r="D47" s="71"/>
      <c r="E47" s="71"/>
      <c r="F47" s="71"/>
      <c r="G47" s="71"/>
    </row>
    <row r="48" customFormat="false" ht="15" hidden="false" customHeight="true" outlineLevel="0" collapsed="false">
      <c r="A48" s="71"/>
      <c r="B48" s="71"/>
      <c r="C48" s="71"/>
      <c r="D48" s="71"/>
      <c r="E48" s="71"/>
      <c r="F48" s="71"/>
      <c r="G48" s="71"/>
    </row>
  </sheetData>
  <mergeCells count="11">
    <mergeCell ref="A2:G3"/>
    <mergeCell ref="B6:D6"/>
    <mergeCell ref="B7:D7"/>
    <mergeCell ref="B8:D8"/>
    <mergeCell ref="B9:D9"/>
    <mergeCell ref="B10:D10"/>
    <mergeCell ref="B11:D11"/>
    <mergeCell ref="B12:D12"/>
    <mergeCell ref="B13:D13"/>
    <mergeCell ref="A16:G16"/>
    <mergeCell ref="A47:G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2"/>
  </cols>
  <sheetData>
    <row r="1" customFormat="false" ht="17.25" hidden="false" customHeight="true" outlineLevel="0" collapsed="false">
      <c r="A1" s="72" t="s">
        <v>806</v>
      </c>
    </row>
    <row r="2" customFormat="false" ht="15" hidden="false" customHeight="true" outlineLevel="0" collapsed="false">
      <c r="A2" s="24" t="s">
        <v>807</v>
      </c>
    </row>
    <row r="4" customFormat="false" ht="15" hidden="false" customHeight="true" outlineLevel="0" collapsed="false">
      <c r="A4" s="73" t="s">
        <v>808</v>
      </c>
    </row>
    <row r="5" customFormat="false" ht="15" hidden="false" customHeight="true" outlineLevel="0" collapsed="false">
      <c r="A5" s="74" t="s">
        <v>809</v>
      </c>
      <c r="B5" s="75" t="s">
        <v>810</v>
      </c>
    </row>
    <row r="6" customFormat="false" ht="34.5" hidden="false" customHeight="true" outlineLevel="0" collapsed="false">
      <c r="A6" s="74" t="s">
        <v>811</v>
      </c>
      <c r="B6" s="75" t="s">
        <v>812</v>
      </c>
    </row>
    <row r="8" customFormat="false" ht="15" hidden="false" customHeight="true" outlineLevel="0" collapsed="false">
      <c r="A8" s="73" t="s">
        <v>813</v>
      </c>
    </row>
    <row r="9" customFormat="false" ht="15" hidden="false" customHeight="true" outlineLevel="0" collapsed="false">
      <c r="A9" s="74" t="s">
        <v>814</v>
      </c>
      <c r="B9" s="75" t="s">
        <v>815</v>
      </c>
    </row>
    <row r="10" customFormat="false" ht="15" hidden="false" customHeight="true" outlineLevel="0" collapsed="false">
      <c r="A10" s="74" t="s">
        <v>816</v>
      </c>
      <c r="B10" s="75" t="s">
        <v>817</v>
      </c>
    </row>
    <row r="11" customFormat="false" ht="15" hidden="false" customHeight="true" outlineLevel="0" collapsed="false">
      <c r="A11" s="74" t="s">
        <v>818</v>
      </c>
      <c r="B11" s="75" t="s">
        <v>819</v>
      </c>
    </row>
    <row r="12" customFormat="false" ht="15" hidden="false" customHeight="true" outlineLevel="0" collapsed="false">
      <c r="A12" s="74" t="s">
        <v>820</v>
      </c>
      <c r="B12" s="75" t="s">
        <v>821</v>
      </c>
    </row>
    <row r="13" customFormat="false" ht="15" hidden="false" customHeight="true" outlineLevel="0" collapsed="false">
      <c r="A13" s="74" t="s">
        <v>822</v>
      </c>
      <c r="B13" s="75" t="s">
        <v>823</v>
      </c>
    </row>
    <row r="14" customFormat="false" ht="23.25" hidden="false" customHeight="true" outlineLevel="0" collapsed="false">
      <c r="A14" s="74" t="s">
        <v>824</v>
      </c>
      <c r="B14" s="75" t="s">
        <v>825</v>
      </c>
    </row>
    <row r="15" customFormat="false" ht="15" hidden="false" customHeight="true" outlineLevel="0" collapsed="false">
      <c r="A15" s="74" t="s">
        <v>826</v>
      </c>
      <c r="B15" s="75" t="s">
        <v>827</v>
      </c>
    </row>
    <row r="16" customFormat="false" ht="15" hidden="false" customHeight="true" outlineLevel="0" collapsed="false">
      <c r="A16" s="74" t="s">
        <v>828</v>
      </c>
      <c r="B16" s="75" t="s">
        <v>829</v>
      </c>
    </row>
    <row r="18" customFormat="false" ht="15" hidden="false" customHeight="true" outlineLevel="0" collapsed="false">
      <c r="A18" s="73" t="s">
        <v>830</v>
      </c>
    </row>
    <row r="19" customFormat="false" ht="15" hidden="false" customHeight="true" outlineLevel="0" collapsed="false">
      <c r="A19" s="74" t="s">
        <v>831</v>
      </c>
      <c r="B19" s="75" t="s">
        <v>832</v>
      </c>
    </row>
    <row r="20" customFormat="false" ht="15" hidden="false" customHeight="true" outlineLevel="0" collapsed="false">
      <c r="A20" s="74" t="s">
        <v>833</v>
      </c>
      <c r="B20" s="75" t="s">
        <v>834</v>
      </c>
    </row>
    <row r="21" customFormat="false" ht="15" hidden="false" customHeight="true" outlineLevel="0" collapsed="false">
      <c r="A21" s="74" t="s">
        <v>835</v>
      </c>
      <c r="B21" s="75" t="s">
        <v>836</v>
      </c>
    </row>
    <row r="22" customFormat="false" ht="15" hidden="false" customHeight="true" outlineLevel="0" collapsed="false">
      <c r="A22" s="74" t="s">
        <v>837</v>
      </c>
      <c r="B22" s="75" t="s">
        <v>838</v>
      </c>
    </row>
    <row r="24" customFormat="false" ht="15" hidden="false" customHeight="true" outlineLevel="0" collapsed="false">
      <c r="A24" s="73" t="s">
        <v>839</v>
      </c>
    </row>
    <row r="25" customFormat="false" ht="15" hidden="false" customHeight="true" outlineLevel="0" collapsed="false">
      <c r="A25" s="74" t="s">
        <v>840</v>
      </c>
      <c r="B25" s="75" t="s">
        <v>841</v>
      </c>
    </row>
    <row r="26" customFormat="false" ht="23.25" hidden="false" customHeight="true" outlineLevel="0" collapsed="false">
      <c r="A26" s="74" t="s">
        <v>842</v>
      </c>
      <c r="B26" s="75" t="s">
        <v>843</v>
      </c>
    </row>
    <row r="27" customFormat="false" ht="23.25" hidden="false" customHeight="true" outlineLevel="0" collapsed="false">
      <c r="A27" s="74" t="s">
        <v>844</v>
      </c>
      <c r="B27" s="75" t="s">
        <v>845</v>
      </c>
    </row>
    <row r="29" customFormat="false" ht="15" hidden="false" customHeight="true" outlineLevel="0" collapsed="false">
      <c r="A29" s="73" t="s">
        <v>846</v>
      </c>
    </row>
    <row r="30" customFormat="false" ht="34.5" hidden="false" customHeight="true" outlineLevel="0" collapsed="false">
      <c r="A30" s="74" t="s">
        <v>847</v>
      </c>
      <c r="B30" s="75" t="s">
        <v>848</v>
      </c>
    </row>
    <row r="31" customFormat="false" ht="23.25" hidden="false" customHeight="true" outlineLevel="0" collapsed="false">
      <c r="A31" s="74" t="s">
        <v>849</v>
      </c>
      <c r="B31" s="75" t="s">
        <v>850</v>
      </c>
    </row>
    <row r="32" customFormat="false" ht="23.25" hidden="false" customHeight="true" outlineLevel="0" collapsed="false">
      <c r="A32" s="74" t="s">
        <v>38</v>
      </c>
      <c r="B32" s="75" t="s">
        <v>851</v>
      </c>
    </row>
    <row r="33" customFormat="false" ht="34.5" hidden="false" customHeight="true" outlineLevel="0" collapsed="false">
      <c r="A33" s="74" t="s">
        <v>852</v>
      </c>
      <c r="B33" s="75" t="s">
        <v>853</v>
      </c>
    </row>
    <row r="34" customFormat="false" ht="23.25" hidden="false" customHeight="true" outlineLevel="0" collapsed="false">
      <c r="A34" s="74" t="s">
        <v>854</v>
      </c>
      <c r="B34" s="75" t="s">
        <v>855</v>
      </c>
    </row>
    <row r="36" customFormat="false" ht="15" hidden="false" customHeight="true" outlineLevel="0" collapsed="false">
      <c r="A36" s="73" t="s">
        <v>856</v>
      </c>
    </row>
    <row r="37" customFormat="false" ht="34.5" hidden="false" customHeight="true" outlineLevel="0" collapsed="false">
      <c r="A37" s="74" t="s">
        <v>857</v>
      </c>
      <c r="B37" s="75" t="s">
        <v>858</v>
      </c>
    </row>
    <row r="39" customFormat="false" ht="15" hidden="false" customHeight="true" outlineLevel="0" collapsed="false">
      <c r="A39" s="73" t="s">
        <v>859</v>
      </c>
    </row>
    <row r="40" customFormat="false" ht="34.5" hidden="false" customHeight="true" outlineLevel="0" collapsed="false">
      <c r="A40" s="74" t="s">
        <v>860</v>
      </c>
      <c r="B40" s="75" t="s">
        <v>861</v>
      </c>
    </row>
    <row r="41" customFormat="false" ht="15" hidden="false" customHeight="true" outlineLevel="0" collapsed="false">
      <c r="A41" s="74" t="s">
        <v>862</v>
      </c>
      <c r="B41" s="75" t="s">
        <v>863</v>
      </c>
    </row>
    <row r="42" customFormat="false" ht="15" hidden="false" customHeight="true" outlineLevel="0" collapsed="false">
      <c r="A42" s="74" t="s">
        <v>864</v>
      </c>
      <c r="B42" s="75" t="s">
        <v>865</v>
      </c>
    </row>
    <row r="44" customFormat="false" ht="15" hidden="false" customHeight="true" outlineLevel="0" collapsed="false">
      <c r="A44" s="73" t="s">
        <v>866</v>
      </c>
    </row>
    <row r="45" customFormat="false" ht="15" hidden="false" customHeight="true" outlineLevel="0" collapsed="false">
      <c r="B45" s="76" t="s">
        <v>867</v>
      </c>
    </row>
    <row r="46" customFormat="false" ht="15" hidden="false" customHeight="true" outlineLevel="0" collapsed="false">
      <c r="B46" s="76" t="s">
        <v>868</v>
      </c>
    </row>
    <row r="47" customFormat="false" ht="15" hidden="false" customHeight="true" outlineLevel="0" collapsed="false">
      <c r="B47" s="76" t="s">
        <v>869</v>
      </c>
    </row>
    <row r="48" customFormat="false" ht="15" hidden="false" customHeight="true" outlineLevel="0" collapsed="false">
      <c r="B48" s="76" t="s">
        <v>870</v>
      </c>
    </row>
    <row r="49" customFormat="false" ht="15" hidden="false" customHeight="true" outlineLevel="0" collapsed="false">
      <c r="B49" s="76" t="s">
        <v>871</v>
      </c>
    </row>
    <row r="50" customFormat="false" ht="15" hidden="false" customHeight="true" outlineLevel="0" collapsed="false">
      <c r="B50" s="76" t="s">
        <v>872</v>
      </c>
    </row>
    <row r="51" customFormat="false" ht="15" hidden="false" customHeight="true" outlineLevel="0" collapsed="false">
      <c r="B51" s="76" t="s">
        <v>873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66"/>
  </cols>
  <sheetData>
    <row r="1" customFormat="false" ht="15.75" hidden="false" customHeight="true" outlineLevel="0" collapsed="false">
      <c r="A1" s="23" t="s">
        <v>874</v>
      </c>
    </row>
    <row r="3" customFormat="false" ht="15" hidden="false" customHeight="true" outlineLevel="0" collapsed="false">
      <c r="A3" s="77" t="s">
        <v>875</v>
      </c>
    </row>
    <row r="4" customFormat="false" ht="15" hidden="false" customHeight="true" outlineLevel="0" collapsed="false">
      <c r="B4" s="76" t="s">
        <v>49</v>
      </c>
    </row>
    <row r="5" customFormat="false" ht="15" hidden="false" customHeight="true" outlineLevel="0" collapsed="false">
      <c r="B5" s="76" t="s">
        <v>50</v>
      </c>
    </row>
    <row r="6" customFormat="false" ht="15" hidden="false" customHeight="true" outlineLevel="0" collapsed="false">
      <c r="B6" s="76" t="s">
        <v>51</v>
      </c>
    </row>
    <row r="8" customFormat="false" ht="15" hidden="false" customHeight="true" outlineLevel="0" collapsed="false">
      <c r="A8" s="77" t="s">
        <v>876</v>
      </c>
    </row>
    <row r="9" customFormat="false" ht="15" hidden="false" customHeight="true" outlineLevel="0" collapsed="false">
      <c r="B9" s="76" t="s">
        <v>49</v>
      </c>
    </row>
    <row r="10" customFormat="false" ht="15" hidden="false" customHeight="true" outlineLevel="0" collapsed="false">
      <c r="B10" s="76" t="s">
        <v>61</v>
      </c>
    </row>
    <row r="11" customFormat="false" ht="15" hidden="false" customHeight="true" outlineLevel="0" collapsed="false">
      <c r="B11" s="76" t="s">
        <v>50</v>
      </c>
    </row>
    <row r="12" customFormat="false" ht="15" hidden="false" customHeight="true" outlineLevel="0" collapsed="false">
      <c r="B12" s="76" t="s">
        <v>62</v>
      </c>
    </row>
    <row r="13" customFormat="false" ht="15" hidden="false" customHeight="true" outlineLevel="0" collapsed="false">
      <c r="B13" s="76" t="s">
        <v>51</v>
      </c>
    </row>
    <row r="15" customFormat="false" ht="15" hidden="false" customHeight="true" outlineLevel="0" collapsed="false">
      <c r="A15" s="77" t="s">
        <v>877</v>
      </c>
    </row>
    <row r="16" customFormat="false" ht="15" hidden="false" customHeight="true" outlineLevel="0" collapsed="false">
      <c r="B16" s="76" t="s">
        <v>67</v>
      </c>
    </row>
    <row r="17" customFormat="false" ht="15" hidden="false" customHeight="true" outlineLevel="0" collapsed="false">
      <c r="B17" s="76" t="s">
        <v>49</v>
      </c>
    </row>
    <row r="18" customFormat="false" ht="15" hidden="false" customHeight="true" outlineLevel="0" collapsed="false">
      <c r="B18" s="76" t="s">
        <v>50</v>
      </c>
    </row>
    <row r="19" customFormat="false" ht="15" hidden="false" customHeight="true" outlineLevel="0" collapsed="false">
      <c r="B19" s="76" t="s">
        <v>51</v>
      </c>
    </row>
    <row r="21" customFormat="false" ht="15" hidden="false" customHeight="true" outlineLevel="0" collapsed="false">
      <c r="A21" s="77" t="s">
        <v>878</v>
      </c>
    </row>
    <row r="22" customFormat="false" ht="15" hidden="false" customHeight="true" outlineLevel="0" collapsed="false">
      <c r="B22" s="76" t="s">
        <v>101</v>
      </c>
    </row>
    <row r="23" customFormat="false" ht="15" hidden="false" customHeight="true" outlineLevel="0" collapsed="false">
      <c r="B23" s="76" t="s">
        <v>59</v>
      </c>
    </row>
    <row r="24" customFormat="false" ht="15" hidden="false" customHeight="true" outlineLevel="0" collapsed="false">
      <c r="B24" s="76" t="s">
        <v>76</v>
      </c>
    </row>
    <row r="25" customFormat="false" ht="15" hidden="false" customHeight="true" outlineLevel="0" collapsed="false">
      <c r="B25" s="76" t="s">
        <v>52</v>
      </c>
    </row>
    <row r="27" customFormat="false" ht="15" hidden="false" customHeight="true" outlineLevel="0" collapsed="false">
      <c r="A27" s="77" t="s">
        <v>8</v>
      </c>
    </row>
    <row r="28" customFormat="false" ht="15" hidden="false" customHeight="true" outlineLevel="0" collapsed="false">
      <c r="B28" s="76" t="s">
        <v>879</v>
      </c>
    </row>
    <row r="29" customFormat="false" ht="15" hidden="false" customHeight="true" outlineLevel="0" collapsed="false">
      <c r="B29" s="76" t="s">
        <v>880</v>
      </c>
    </row>
    <row r="31" customFormat="false" ht="15" hidden="false" customHeight="true" outlineLevel="0" collapsed="false">
      <c r="A31" s="77" t="s">
        <v>36</v>
      </c>
    </row>
    <row r="32" customFormat="false" ht="15" hidden="false" customHeight="true" outlineLevel="0" collapsed="false">
      <c r="B32" s="76" t="s">
        <v>881</v>
      </c>
    </row>
    <row r="33" customFormat="false" ht="15" hidden="false" customHeight="true" outlineLevel="0" collapsed="false">
      <c r="B33" s="76" t="s">
        <v>882</v>
      </c>
    </row>
    <row r="34" customFormat="false" ht="15" hidden="false" customHeight="true" outlineLevel="0" collapsed="false">
      <c r="B34" s="76" t="s">
        <v>883</v>
      </c>
    </row>
    <row r="35" customFormat="false" ht="15" hidden="false" customHeight="true" outlineLevel="0" collapsed="false">
      <c r="B35" s="76" t="s">
        <v>884</v>
      </c>
    </row>
    <row r="37" customFormat="false" ht="15" hidden="false" customHeight="true" outlineLevel="0" collapsed="false">
      <c r="A37" s="77" t="s">
        <v>885</v>
      </c>
    </row>
    <row r="38" customFormat="false" ht="15" hidden="false" customHeight="true" outlineLevel="0" collapsed="false">
      <c r="B38" s="76" t="s">
        <v>886</v>
      </c>
    </row>
    <row r="39" customFormat="false" ht="15" hidden="false" customHeight="true" outlineLevel="0" collapsed="false">
      <c r="B39" s="76" t="s">
        <v>887</v>
      </c>
    </row>
    <row r="40" customFormat="false" ht="15" hidden="false" customHeight="true" outlineLevel="0" collapsed="false">
      <c r="B40" s="76" t="s">
        <v>888</v>
      </c>
    </row>
    <row r="41" customFormat="false" ht="15" hidden="false" customHeight="true" outlineLevel="0" collapsed="false">
      <c r="B41" s="76" t="s">
        <v>889</v>
      </c>
    </row>
    <row r="42" customFormat="false" ht="15" hidden="false" customHeight="true" outlineLevel="0" collapsed="false">
      <c r="B42" s="76" t="s">
        <v>890</v>
      </c>
    </row>
    <row r="44" customFormat="false" ht="15" hidden="false" customHeight="true" outlineLevel="0" collapsed="false">
      <c r="A44" s="77" t="s">
        <v>891</v>
      </c>
    </row>
    <row r="45" customFormat="false" ht="15" hidden="false" customHeight="true" outlineLevel="0" collapsed="false">
      <c r="B45" s="76" t="s">
        <v>892</v>
      </c>
    </row>
    <row r="46" customFormat="false" ht="15" hidden="false" customHeight="true" outlineLevel="0" collapsed="false">
      <c r="B46" s="76" t="s">
        <v>893</v>
      </c>
    </row>
    <row r="47" customFormat="false" ht="15" hidden="false" customHeight="true" outlineLevel="0" collapsed="false">
      <c r="B47" s="76" t="s">
        <v>894</v>
      </c>
    </row>
    <row r="48" customFormat="false" ht="15" hidden="false" customHeight="true" outlineLevel="0" collapsed="false">
      <c r="B48" s="76" t="s">
        <v>895</v>
      </c>
    </row>
    <row r="50" customFormat="false" ht="15" hidden="false" customHeight="true" outlineLevel="0" collapsed="false">
      <c r="A50" s="77" t="s">
        <v>896</v>
      </c>
    </row>
    <row r="51" customFormat="false" ht="15" hidden="false" customHeight="true" outlineLevel="0" collapsed="false">
      <c r="B51" s="76" t="s">
        <v>897</v>
      </c>
    </row>
    <row r="52" customFormat="false" ht="15" hidden="false" customHeight="true" outlineLevel="0" collapsed="false">
      <c r="B52" s="76" t="s">
        <v>344</v>
      </c>
    </row>
    <row r="53" customFormat="false" ht="15" hidden="false" customHeight="true" outlineLevel="0" collapsed="false">
      <c r="B53" s="76" t="s">
        <v>331</v>
      </c>
    </row>
    <row r="54" customFormat="false" ht="15" hidden="false" customHeight="true" outlineLevel="0" collapsed="false">
      <c r="B54" s="76" t="s">
        <v>575</v>
      </c>
    </row>
    <row r="55" customFormat="false" ht="15" hidden="false" customHeight="true" outlineLevel="0" collapsed="false">
      <c r="B55" s="76" t="s">
        <v>898</v>
      </c>
    </row>
    <row r="56" customFormat="false" ht="15" hidden="false" customHeight="true" outlineLevel="0" collapsed="false">
      <c r="B56" s="76" t="s">
        <v>557</v>
      </c>
    </row>
    <row r="58" customFormat="false" ht="15" hidden="false" customHeight="true" outlineLevel="0" collapsed="false">
      <c r="A58" s="77" t="s">
        <v>899</v>
      </c>
    </row>
    <row r="59" customFormat="false" ht="15" hidden="false" customHeight="true" outlineLevel="0" collapsed="false">
      <c r="B59" s="76" t="s">
        <v>900</v>
      </c>
    </row>
    <row r="60" customFormat="false" ht="15" hidden="false" customHeight="true" outlineLevel="0" collapsed="false">
      <c r="B60" s="76" t="s">
        <v>901</v>
      </c>
    </row>
    <row r="61" customFormat="false" ht="15" hidden="false" customHeight="true" outlineLevel="0" collapsed="false">
      <c r="B61" s="76" t="s">
        <v>902</v>
      </c>
    </row>
    <row r="62" customFormat="false" ht="15" hidden="false" customHeight="true" outlineLevel="0" collapsed="false">
      <c r="B62" s="76" t="s">
        <v>903</v>
      </c>
    </row>
    <row r="63" customFormat="false" ht="15" hidden="false" customHeight="true" outlineLevel="0" collapsed="false">
      <c r="B63" s="76" t="s">
        <v>904</v>
      </c>
    </row>
    <row r="64" customFormat="false" ht="15" hidden="false" customHeight="true" outlineLevel="0" collapsed="false">
      <c r="B64" s="76" t="s">
        <v>905</v>
      </c>
    </row>
    <row r="66" customFormat="false" ht="15" hidden="false" customHeight="true" outlineLevel="0" collapsed="false">
      <c r="A66" s="77" t="s">
        <v>906</v>
      </c>
    </row>
    <row r="67" customFormat="false" ht="15" hidden="false" customHeight="true" outlineLevel="0" collapsed="false">
      <c r="B67" s="76" t="s">
        <v>907</v>
      </c>
    </row>
    <row r="68" customFormat="false" ht="15" hidden="false" customHeight="true" outlineLevel="0" collapsed="false">
      <c r="B68" s="76" t="s">
        <v>908</v>
      </c>
    </row>
    <row r="69" customFormat="false" ht="15" hidden="false" customHeight="true" outlineLevel="0" collapsed="false">
      <c r="B69" s="76" t="s">
        <v>909</v>
      </c>
    </row>
    <row r="71" customFormat="false" ht="15" hidden="false" customHeight="true" outlineLevel="0" collapsed="false">
      <c r="A71" s="77" t="s">
        <v>910</v>
      </c>
    </row>
    <row r="72" customFormat="false" ht="15" hidden="false" customHeight="true" outlineLevel="0" collapsed="false">
      <c r="B72" s="76" t="s">
        <v>911</v>
      </c>
    </row>
    <row r="73" customFormat="false" ht="15" hidden="false" customHeight="true" outlineLevel="0" collapsed="false">
      <c r="B73" s="76" t="s">
        <v>912</v>
      </c>
    </row>
    <row r="74" customFormat="false" ht="15" hidden="false" customHeight="true" outlineLevel="0" collapsed="false">
      <c r="B74" s="76" t="s">
        <v>913</v>
      </c>
    </row>
    <row r="76" customFormat="false" ht="15" hidden="false" customHeight="true" outlineLevel="0" collapsed="false">
      <c r="A76" s="77" t="s">
        <v>914</v>
      </c>
    </row>
    <row r="77" customFormat="false" ht="15" hidden="false" customHeight="true" outlineLevel="0" collapsed="false">
      <c r="B77" s="76" t="s">
        <v>915</v>
      </c>
    </row>
    <row r="78" customFormat="false" ht="15" hidden="false" customHeight="true" outlineLevel="0" collapsed="false">
      <c r="B78" s="76" t="s">
        <v>916</v>
      </c>
    </row>
    <row r="79" customFormat="false" ht="15" hidden="false" customHeight="true" outlineLevel="0" collapsed="false">
      <c r="B79" s="76" t="s">
        <v>917</v>
      </c>
    </row>
    <row r="80" customFormat="false" ht="15" hidden="false" customHeight="true" outlineLevel="0" collapsed="false">
      <c r="B80" s="76" t="s">
        <v>918</v>
      </c>
    </row>
    <row r="82" customFormat="false" ht="15" hidden="false" customHeight="true" outlineLevel="0" collapsed="false">
      <c r="A82" s="77" t="s">
        <v>919</v>
      </c>
    </row>
    <row r="83" customFormat="false" ht="15" hidden="false" customHeight="true" outlineLevel="0" collapsed="false">
      <c r="B83" s="76" t="s">
        <v>920</v>
      </c>
    </row>
    <row r="84" customFormat="false" ht="15" hidden="false" customHeight="true" outlineLevel="0" collapsed="false">
      <c r="B84" s="76" t="s">
        <v>921</v>
      </c>
    </row>
    <row r="85" customFormat="false" ht="15" hidden="false" customHeight="true" outlineLevel="0" collapsed="false">
      <c r="B85" s="76" t="s">
        <v>922</v>
      </c>
    </row>
    <row r="86" customFormat="false" ht="15" hidden="false" customHeight="true" outlineLevel="0" collapsed="false">
      <c r="B86" s="76" t="s">
        <v>923</v>
      </c>
    </row>
    <row r="87" customFormat="false" ht="15" hidden="false" customHeight="true" outlineLevel="0" collapsed="false">
      <c r="B87" s="76" t="s">
        <v>924</v>
      </c>
    </row>
    <row r="88" customFormat="false" ht="15" hidden="false" customHeight="true" outlineLevel="0" collapsed="false">
      <c r="B88" s="76" t="s">
        <v>925</v>
      </c>
    </row>
    <row r="89" customFormat="false" ht="15" hidden="false" customHeight="true" outlineLevel="0" collapsed="false">
      <c r="B89" s="76" t="s">
        <v>926</v>
      </c>
    </row>
    <row r="91" customFormat="false" ht="15" hidden="false" customHeight="true" outlineLevel="0" collapsed="false">
      <c r="A91" s="77" t="s">
        <v>927</v>
      </c>
    </row>
    <row r="92" customFormat="false" ht="15" hidden="false" customHeight="true" outlineLevel="0" collapsed="false">
      <c r="B92" s="76" t="s">
        <v>928</v>
      </c>
    </row>
    <row r="93" customFormat="false" ht="15" hidden="false" customHeight="true" outlineLevel="0" collapsed="false">
      <c r="B93" s="76" t="s">
        <v>929</v>
      </c>
    </row>
    <row r="94" customFormat="false" ht="15" hidden="false" customHeight="true" outlineLevel="0" collapsed="false">
      <c r="B94" s="76" t="s">
        <v>930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6" min="2" style="1" width="15"/>
  </cols>
  <sheetData>
    <row r="1" customFormat="false" ht="15.75" hidden="false" customHeight="true" outlineLevel="0" collapsed="false">
      <c r="A1" s="23" t="s">
        <v>931</v>
      </c>
    </row>
    <row r="3" customFormat="false" ht="15" hidden="false" customHeight="true" outlineLevel="0" collapsed="false">
      <c r="A3" s="78" t="s">
        <v>932</v>
      </c>
    </row>
    <row r="4" customFormat="false" ht="15" hidden="false" customHeight="true" outlineLevel="0" collapsed="false">
      <c r="A4" s="79" t="s">
        <v>5</v>
      </c>
      <c r="B4" s="79" t="s">
        <v>705</v>
      </c>
      <c r="C4" s="79" t="s">
        <v>63</v>
      </c>
      <c r="D4" s="79" t="s">
        <v>68</v>
      </c>
    </row>
    <row r="5" customFormat="false" ht="15" hidden="false" customHeight="true" outlineLevel="0" collapsed="false">
      <c r="A5" s="76" t="s">
        <v>41</v>
      </c>
      <c r="B5" s="76" t="n">
        <f aca="false">COUNTIF(Klimawirkungen!$B$3:$B$104,$A5)</f>
        <v>32</v>
      </c>
      <c r="C5" s="76" t="n">
        <f aca="false">COUNTIFS(Klimawirkungen!$B$3:$B$104,$A5,Klimawirkungen!$AG$3:$AG$104,"sehr dringend")</f>
        <v>13</v>
      </c>
      <c r="D5" s="76" t="n">
        <f aca="false">COUNTIFS(Klimawirkungen!$B$3:$B$104,$A5,Klimawirkungen!$AG$3:$AG$104,"dringend")</f>
        <v>7</v>
      </c>
    </row>
    <row r="6" customFormat="false" ht="15" hidden="false" customHeight="true" outlineLevel="0" collapsed="false">
      <c r="A6" s="76" t="s">
        <v>135</v>
      </c>
      <c r="B6" s="76" t="n">
        <f aca="false">COUNTIF(Klimawirkungen!$B$3:$B$104,$A6)</f>
        <v>26</v>
      </c>
      <c r="C6" s="76" t="n">
        <f aca="false">COUNTIFS(Klimawirkungen!$B$3:$B$104,$A6,Klimawirkungen!$AG$3:$AG$104,"sehr dringend")</f>
        <v>9</v>
      </c>
      <c r="D6" s="76" t="n">
        <f aca="false">COUNTIFS(Klimawirkungen!$B$3:$B$104,$A6,Klimawirkungen!$AG$3:$AG$104,"dringend")</f>
        <v>5</v>
      </c>
    </row>
    <row r="7" customFormat="false" ht="15" hidden="false" customHeight="true" outlineLevel="0" collapsed="false">
      <c r="A7" s="76" t="s">
        <v>196</v>
      </c>
      <c r="B7" s="76" t="n">
        <f aca="false">COUNTIF(Klimawirkungen!$B$3:$B$104,$A7)</f>
        <v>19</v>
      </c>
      <c r="C7" s="76" t="n">
        <f aca="false">COUNTIFS(Klimawirkungen!$B$3:$B$104,$A7,Klimawirkungen!$AG$3:$AG$104,"sehr dringend")</f>
        <v>5</v>
      </c>
      <c r="D7" s="76" t="n">
        <f aca="false">COUNTIFS(Klimawirkungen!$B$3:$B$104,$A7,Klimawirkungen!$AG$3:$AG$104,"dringend")</f>
        <v>4</v>
      </c>
    </row>
    <row r="8" customFormat="false" ht="15" hidden="false" customHeight="true" outlineLevel="0" collapsed="false">
      <c r="A8" s="76" t="s">
        <v>249</v>
      </c>
      <c r="B8" s="76" t="n">
        <f aca="false">COUNTIF(Klimawirkungen!$B$3:$B$104,$A8)</f>
        <v>17</v>
      </c>
      <c r="C8" s="76" t="n">
        <f aca="false">COUNTIFS(Klimawirkungen!$B$3:$B$104,$A8,Klimawirkungen!$AG$3:$AG$104,"sehr dringend")</f>
        <v>1</v>
      </c>
      <c r="D8" s="76" t="n">
        <f aca="false">COUNTIFS(Klimawirkungen!$B$3:$B$104,$A8,Klimawirkungen!$AG$3:$AG$104,"dringend")</f>
        <v>5</v>
      </c>
    </row>
    <row r="9" customFormat="false" ht="15" hidden="false" customHeight="true" outlineLevel="0" collapsed="false">
      <c r="A9" s="76" t="s">
        <v>281</v>
      </c>
      <c r="B9" s="76" t="n">
        <f aca="false">COUNTIF(Klimawirkungen!$B$3:$B$104,$A9)</f>
        <v>8</v>
      </c>
      <c r="C9" s="76" t="n">
        <f aca="false">COUNTIFS(Klimawirkungen!$B$3:$B$104,$A9,Klimawirkungen!$AG$3:$AG$104,"sehr dringend")</f>
        <v>3</v>
      </c>
      <c r="D9" s="76" t="n">
        <f aca="false">COUNTIFS(Klimawirkungen!$B$3:$B$104,$A9,Klimawirkungen!$AG$3:$AG$104,"dringend")</f>
        <v>2</v>
      </c>
    </row>
    <row r="10" customFormat="false" ht="15" hidden="false" customHeight="true" outlineLevel="0" collapsed="false">
      <c r="A10" s="48" t="s">
        <v>313</v>
      </c>
      <c r="B10" s="48" t="n">
        <f aca="false">SUM(B5:B9)</f>
        <v>102</v>
      </c>
      <c r="C10" s="48" t="n">
        <f aca="false">SUM(C5:C9)</f>
        <v>31</v>
      </c>
      <c r="D10" s="48" t="n">
        <f aca="false">SUM(D5:D9)</f>
        <v>23</v>
      </c>
    </row>
    <row r="12" customFormat="false" ht="15" hidden="false" customHeight="true" outlineLevel="0" collapsed="false">
      <c r="A12" s="78" t="s">
        <v>933</v>
      </c>
    </row>
    <row r="13" customFormat="false" ht="15" hidden="false" customHeight="true" outlineLevel="0" collapsed="false">
      <c r="A13" s="80" t="s">
        <v>934</v>
      </c>
      <c r="B13" s="80" t="s">
        <v>935</v>
      </c>
      <c r="C13" s="80" t="s">
        <v>936</v>
      </c>
      <c r="D13" s="80" t="s">
        <v>937</v>
      </c>
      <c r="E13" s="80" t="s">
        <v>938</v>
      </c>
      <c r="F13" s="80" t="s">
        <v>939</v>
      </c>
    </row>
    <row r="14" customFormat="false" ht="15" hidden="false" customHeight="true" outlineLevel="0" collapsed="false">
      <c r="A14" s="76" t="s">
        <v>49</v>
      </c>
      <c r="B14" s="76" t="n">
        <f aca="false">COUNTIF(Klimawirkungen!$N$3:$N$104,$A14)</f>
        <v>59</v>
      </c>
      <c r="C14" s="76" t="n">
        <f aca="false">COUNTIF(Klimawirkungen!$O$3:$O$104,$A14)</f>
        <v>50</v>
      </c>
      <c r="D14" s="76" t="n">
        <f aca="false">COUNTIF(Klimawirkungen!$P$3:$P$104,$A14)</f>
        <v>16</v>
      </c>
      <c r="E14" s="76" t="n">
        <f aca="false">COUNTIF(Klimawirkungen!$Q$3:$Q$104,$A14)</f>
        <v>32</v>
      </c>
      <c r="F14" s="76" t="n">
        <f aca="false">COUNTIF(Klimawirkungen!$R$3:$R$104,$A14)</f>
        <v>9</v>
      </c>
    </row>
    <row r="15" customFormat="false" ht="15" hidden="false" customHeight="true" outlineLevel="0" collapsed="false">
      <c r="A15" s="76" t="s">
        <v>50</v>
      </c>
      <c r="B15" s="76" t="n">
        <f aca="false">COUNTIF(Klimawirkungen!$N$3:$N$104,$A15)</f>
        <v>42</v>
      </c>
      <c r="C15" s="76" t="n">
        <f aca="false">COUNTIF(Klimawirkungen!$O$3:$O$104,$A15)</f>
        <v>50</v>
      </c>
      <c r="D15" s="76" t="n">
        <f aca="false">COUNTIF(Klimawirkungen!$P$3:$P$104,$A15)</f>
        <v>50</v>
      </c>
      <c r="E15" s="76" t="n">
        <f aca="false">COUNTIF(Klimawirkungen!$Q$3:$Q$104,$A15)</f>
        <v>61</v>
      </c>
      <c r="F15" s="76" t="n">
        <f aca="false">COUNTIF(Klimawirkungen!$R$3:$R$104,$A15)</f>
        <v>41</v>
      </c>
    </row>
    <row r="16" customFormat="false" ht="15" hidden="false" customHeight="true" outlineLevel="0" collapsed="false">
      <c r="A16" s="76" t="s">
        <v>51</v>
      </c>
      <c r="B16" s="76" t="n">
        <f aca="false">COUNTIF(Klimawirkungen!$N$3:$N$104,$A16)</f>
        <v>1</v>
      </c>
      <c r="C16" s="76" t="n">
        <f aca="false">COUNTIF(Klimawirkungen!$O$3:$O$104,$A16)</f>
        <v>2</v>
      </c>
      <c r="D16" s="76" t="n">
        <f aca="false">COUNTIF(Klimawirkungen!$P$3:$P$104,$A16)</f>
        <v>36</v>
      </c>
      <c r="E16" s="76" t="n">
        <f aca="false">COUNTIF(Klimawirkungen!$Q$3:$Q$104,$A16)</f>
        <v>9</v>
      </c>
      <c r="F16" s="76" t="n">
        <f aca="false">COUNTIF(Klimawirkungen!$R$3:$R$104,$A16)</f>
        <v>52</v>
      </c>
    </row>
    <row r="18" customFormat="false" ht="15" hidden="false" customHeight="true" outlineLevel="0" collapsed="false">
      <c r="A18" s="78" t="s">
        <v>940</v>
      </c>
    </row>
    <row r="19" customFormat="false" ht="15" hidden="false" customHeight="true" outlineLevel="0" collapsed="false">
      <c r="A19" s="81" t="s">
        <v>934</v>
      </c>
      <c r="B19" s="81" t="s">
        <v>941</v>
      </c>
      <c r="C19" s="81" t="s">
        <v>942</v>
      </c>
      <c r="D19" s="81" t="s">
        <v>943</v>
      </c>
    </row>
    <row r="20" customFormat="false" ht="15" hidden="false" customHeight="true" outlineLevel="0" collapsed="false">
      <c r="A20" s="76" t="s">
        <v>49</v>
      </c>
      <c r="B20" s="76" t="n">
        <f aca="false">COUNTIFS(Klimawirkungen!$P$3:$P$104,$A20,Klimawirkungen!$V$3:$V$104,"ja")</f>
        <v>0</v>
      </c>
      <c r="C20" s="76" t="n">
        <f aca="false">COUNTIF(Klimawirkungen!$AD$3:$AD$104,$A20)</f>
        <v>0</v>
      </c>
      <c r="D20" s="76" t="n">
        <f aca="false">COUNTIF(Klimawirkungen!$AF$3:$AF$104,$A20)</f>
        <v>1</v>
      </c>
    </row>
    <row r="21" customFormat="false" ht="15" hidden="false" customHeight="true" outlineLevel="0" collapsed="false">
      <c r="A21" s="76" t="s">
        <v>61</v>
      </c>
      <c r="B21" s="76" t="n">
        <f aca="false">COUNTIFS(Klimawirkungen!$P$3:$P$104,$A21,Klimawirkungen!$V$3:$V$104,"ja")</f>
        <v>0</v>
      </c>
      <c r="C21" s="76" t="n">
        <f aca="false">COUNTIF(Klimawirkungen!$AD$3:$AD$104,$A21)</f>
        <v>1</v>
      </c>
      <c r="D21" s="76" t="n">
        <f aca="false">COUNTIF(Klimawirkungen!$AF$3:$AF$104,$A21)</f>
        <v>6</v>
      </c>
    </row>
    <row r="22" customFormat="false" ht="15" hidden="false" customHeight="true" outlineLevel="0" collapsed="false">
      <c r="A22" s="76" t="s">
        <v>50</v>
      </c>
      <c r="B22" s="76" t="n">
        <f aca="false">COUNTIFS(Klimawirkungen!$P$3:$P$104,$A22,Klimawirkungen!$V$3:$V$104,"ja")</f>
        <v>4</v>
      </c>
      <c r="C22" s="76" t="n">
        <f aca="false">COUNTIF(Klimawirkungen!$AD$3:$AD$104,$A22)</f>
        <v>6</v>
      </c>
      <c r="D22" s="76" t="n">
        <f aca="false">COUNTIF(Klimawirkungen!$AF$3:$AF$104,$A22)</f>
        <v>14</v>
      </c>
    </row>
    <row r="23" customFormat="false" ht="15" hidden="false" customHeight="true" outlineLevel="0" collapsed="false">
      <c r="A23" s="76" t="s">
        <v>62</v>
      </c>
      <c r="B23" s="76" t="n">
        <f aca="false">COUNTIFS(Klimawirkungen!$P$3:$P$104,$A23,Klimawirkungen!$V$3:$V$104,"ja")</f>
        <v>0</v>
      </c>
      <c r="C23" s="76" t="n">
        <f aca="false">COUNTIF(Klimawirkungen!$AD$3:$AD$104,$A23)</f>
        <v>17</v>
      </c>
      <c r="D23" s="76" t="n">
        <f aca="false">COUNTIF(Klimawirkungen!$AF$3:$AF$104,$A23)</f>
        <v>11</v>
      </c>
    </row>
    <row r="24" customFormat="false" ht="15" hidden="false" customHeight="true" outlineLevel="0" collapsed="false">
      <c r="A24" s="76" t="s">
        <v>51</v>
      </c>
      <c r="B24" s="76" t="n">
        <f aca="false">COUNTIFS(Klimawirkungen!$P$3:$P$104,$A24,Klimawirkungen!$V$3:$V$104,"ja")</f>
        <v>29</v>
      </c>
      <c r="C24" s="76" t="n">
        <f aca="false">COUNTIF(Klimawirkungen!$AD$3:$AD$104,$A24)</f>
        <v>9</v>
      </c>
      <c r="D24" s="76" t="n">
        <f aca="false">COUNTIF(Klimawirkungen!$AF$3:$AF$104,$A24)</f>
        <v>1</v>
      </c>
    </row>
    <row r="26" customFormat="false" ht="15" hidden="false" customHeight="true" outlineLevel="0" collapsed="false">
      <c r="A26" s="78" t="s">
        <v>944</v>
      </c>
    </row>
    <row r="27" customFormat="false" ht="15" hidden="false" customHeight="true" outlineLevel="0" collapsed="false">
      <c r="A27" s="76" t="s">
        <v>25</v>
      </c>
      <c r="B27" s="76" t="n">
        <f aca="false">COUNTIF(Klimawirkungen!$V$3:$V$104,"ja")</f>
        <v>33</v>
      </c>
      <c r="C27" s="82" t="s">
        <v>945</v>
      </c>
    </row>
    <row r="28" customFormat="false" ht="15" hidden="false" customHeight="true" outlineLevel="0" collapsed="false">
      <c r="A28" s="76" t="s">
        <v>946</v>
      </c>
      <c r="B28" s="76" t="n">
        <f aca="false">COUNTIF(Klimawirkungen!$E$3:$E$104,"intensiv")</f>
        <v>37</v>
      </c>
      <c r="C28" s="82" t="s">
        <v>947</v>
      </c>
    </row>
    <row r="29" customFormat="false" ht="15" hidden="false" customHeight="true" outlineLevel="0" collapsed="false">
      <c r="A29" s="76" t="s">
        <v>849</v>
      </c>
      <c r="B29" s="76" t="n">
        <f aca="false">COUNTIF(Klimawirkungen!$L$3:$L$104,"ja")</f>
        <v>9</v>
      </c>
      <c r="C29" s="82" t="s">
        <v>948</v>
      </c>
    </row>
    <row r="30" customFormat="false" ht="15" hidden="false" customHeight="true" outlineLevel="0" collapsed="false">
      <c r="A30" s="76" t="s">
        <v>949</v>
      </c>
      <c r="B30" s="76" t="n">
        <f aca="false">COUNTIF(Klimawirkungen!$K$3:$K$104,"Chance")</f>
        <v>2</v>
      </c>
      <c r="C30" s="82" t="s">
        <v>950</v>
      </c>
    </row>
    <row r="31" customFormat="false" ht="15" hidden="false" customHeight="true" outlineLevel="0" collapsed="false">
      <c r="A31" s="76" t="s">
        <v>951</v>
      </c>
      <c r="B31" s="76" t="n">
        <f aca="false">SUMPRODUCT(--EXACT(Klimawirkungen!$U$3:$U$104,"keine Reaktion möglich"))</f>
        <v>6</v>
      </c>
      <c r="C31" s="82" t="s">
        <v>952</v>
      </c>
    </row>
    <row r="32" customFormat="false" ht="15" hidden="false" customHeight="true" outlineLevel="0" collapsed="false">
      <c r="A32" s="76" t="s">
        <v>953</v>
      </c>
      <c r="B32" s="76" t="n">
        <f aca="false">SUMPRODUCT(--EXACT(Klimawirkungen!$U$3:$U$104,"&gt; 50"))</f>
        <v>15</v>
      </c>
    </row>
    <row r="33" customFormat="false" ht="15" hidden="false" customHeight="true" outlineLevel="0" collapsed="false">
      <c r="A33" s="76" t="s">
        <v>954</v>
      </c>
      <c r="B33" s="76" t="n">
        <f aca="false">SUMPRODUCT(--EXACT(Klimawirkungen!$U$3:$U$104,"&lt; 10"))</f>
        <v>36</v>
      </c>
    </row>
    <row r="34" customFormat="false" ht="15" hidden="false" customHeight="true" outlineLevel="0" collapsed="false">
      <c r="A34" s="76" t="s">
        <v>955</v>
      </c>
      <c r="B34" s="76" t="n">
        <f aca="false">COUNTIF(Klimawirkungen!$N$3:$N$104,"hoch")</f>
        <v>1</v>
      </c>
      <c r="C34" s="82" t="s">
        <v>956</v>
      </c>
    </row>
    <row r="35" customFormat="false" ht="15" hidden="false" customHeight="true" outlineLevel="0" collapsed="false">
      <c r="A35" s="76" t="s">
        <v>957</v>
      </c>
      <c r="B35" s="76" t="n">
        <f aca="false">COUNTIF(Klimawirkungen!$I$3:$I$104,"?*")</f>
        <v>31</v>
      </c>
    </row>
    <row r="36" customFormat="false" ht="15" hidden="false" customHeight="true" outlineLevel="0" collapsed="false">
      <c r="A36" s="76" t="s">
        <v>958</v>
      </c>
      <c r="B36" s="76" t="n">
        <f aca="false">COUNTA(Indikatoren!D5:D71)</f>
        <v>67</v>
      </c>
    </row>
    <row r="38" customFormat="false" ht="15" hidden="false" customHeight="true" outlineLevel="0" collapsed="false">
      <c r="A38" s="82" t="s">
        <v>959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2026-08-06T21:00:47Z</dcterms:created>
  <dc:creator>openpyxl</dc:creator>
  <dc:description/>
  <dc:language>en-US</dc:language>
  <cp:lastModifiedBy/>
  <dcterms:modified xsi:type="dcterms:W3CDTF">2026-08-06T23:52:26Z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